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History" sheetId="14" r:id="rId1"/>
    <sheet name="Motor35" sheetId="1" r:id="rId2"/>
    <sheet name="Motor42" sheetId="2" r:id="rId3"/>
    <sheet name="REF_Controller" sheetId="3" r:id="rId4"/>
    <sheet name="总价" sheetId="13" r:id="rId5"/>
    <sheet name="立创商城BOM" sheetId="7" r:id="rId6"/>
    <sheet name="PCB打样" sheetId="8" r:id="rId7"/>
    <sheet name="3D打印" sheetId="9" r:id="rId8"/>
    <sheet name="CNC结构件" sheetId="10" r:id="rId9"/>
    <sheet name="电机和减速器" sheetId="12" r:id="rId10"/>
    <sheet name="螺丝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<sst xmlns="http://schemas.openxmlformats.org/spreadsheetml/2006/main" count="883" uniqueCount="386">
  <si>
    <t>Version</t>
  </si>
  <si>
    <t>Change list</t>
  </si>
  <si>
    <t>Date</t>
  </si>
  <si>
    <t>v1.0</t>
  </si>
  <si>
    <t>First release</t>
  </si>
  <si>
    <t>v1.1</t>
  </si>
  <si>
    <t>增加木子晓汶硬件v1.0.0和v1.0.1的说明和Gitee链接</t>
  </si>
  <si>
    <t>Sourced</t>
  </si>
  <si>
    <t>Placed</t>
  </si>
  <si>
    <t>References</t>
  </si>
  <si>
    <t>Value</t>
  </si>
  <si>
    <t>Footprint</t>
  </si>
  <si>
    <t>Quantity</t>
  </si>
  <si>
    <t>Y1</t>
  </si>
  <si>
    <t>XTAL-4</t>
  </si>
  <si>
    <t>LC-SMD-3225_4P</t>
  </si>
  <si>
    <t>12M</t>
  </si>
  <si>
    <t>U5</t>
  </si>
  <si>
    <t>SN65HVD232D</t>
  </si>
  <si>
    <t>so-8</t>
  </si>
  <si>
    <t>U6</t>
  </si>
  <si>
    <t>ME3116</t>
  </si>
  <si>
    <t>SOT23-6</t>
  </si>
  <si>
    <t>U7</t>
  </si>
  <si>
    <t>LP2992 3V3</t>
  </si>
  <si>
    <t>SOT23-5</t>
  </si>
  <si>
    <t>U8</t>
  </si>
  <si>
    <t>MT6816</t>
  </si>
  <si>
    <t>SO-8</t>
  </si>
  <si>
    <t>U1, U2</t>
  </si>
  <si>
    <t>TB67H450FNG</t>
  </si>
  <si>
    <t>SO-8-PAD</t>
  </si>
  <si>
    <t>U3</t>
  </si>
  <si>
    <t>STM32F103CBT6</t>
  </si>
  <si>
    <t>LQFP-48</t>
  </si>
  <si>
    <t>S1</t>
  </si>
  <si>
    <t>DSHP04TSGER</t>
  </si>
  <si>
    <t>SW-SMD_DSHP04TS-S</t>
  </si>
  <si>
    <t>R4</t>
  </si>
  <si>
    <t>NCP15XH103F03RC</t>
  </si>
  <si>
    <t>RES_0402</t>
  </si>
  <si>
    <t>R5</t>
  </si>
  <si>
    <t>3.3K</t>
  </si>
  <si>
    <t>R15, R19</t>
  </si>
  <si>
    <t>1M</t>
  </si>
  <si>
    <t>R1, R2, R6, R7, R11, R18</t>
  </si>
  <si>
    <t>1K</t>
  </si>
  <si>
    <t>R12</t>
  </si>
  <si>
    <t>120R</t>
  </si>
  <si>
    <t>R9, R10, R13</t>
  </si>
  <si>
    <t>10K</t>
  </si>
  <si>
    <t>R14</t>
  </si>
  <si>
    <t>1.8K</t>
  </si>
  <si>
    <t>R21, R22</t>
  </si>
  <si>
    <t>R20</t>
  </si>
  <si>
    <t>0R</t>
  </si>
  <si>
    <t>1206-RES</t>
  </si>
  <si>
    <t>R3, R8</t>
  </si>
  <si>
    <t>0.1R</t>
  </si>
  <si>
    <t>LED1, LED2</t>
  </si>
  <si>
    <t>LED GREEN</t>
  </si>
  <si>
    <t>LED-0603</t>
  </si>
  <si>
    <t>L1</t>
  </si>
  <si>
    <t>6.8uH</t>
  </si>
  <si>
    <t>IND-201612</t>
  </si>
  <si>
    <t>K1, K2</t>
  </si>
  <si>
    <t>TACT 2P</t>
  </si>
  <si>
    <t>ButtonTACT_3x4x2_180</t>
  </si>
  <si>
    <t>D3, D4</t>
  </si>
  <si>
    <r>
      <rPr>
        <sz val="11"/>
        <color theme="1"/>
        <rFont val="宋体"/>
        <charset val="134"/>
      </rPr>
      <t>二极管</t>
    </r>
    <r>
      <rPr>
        <sz val="11"/>
        <color theme="1"/>
        <rFont val="Calibri"/>
        <charset val="134"/>
      </rPr>
      <t>-5819W</t>
    </r>
  </si>
  <si>
    <t>SOD-323</t>
  </si>
  <si>
    <t>D2</t>
  </si>
  <si>
    <t>SMBJ28CA</t>
  </si>
  <si>
    <t>SMBJ-CA_MFG</t>
  </si>
  <si>
    <t>D1</t>
  </si>
  <si>
    <t>SS54</t>
  </si>
  <si>
    <t>DO-214AC</t>
  </si>
  <si>
    <t>C12, C13</t>
  </si>
  <si>
    <t>20pF</t>
  </si>
  <si>
    <t>CAP_0402</t>
  </si>
  <si>
    <t>C3, C10, C19, C22, C24</t>
  </si>
  <si>
    <t>10uF</t>
  </si>
  <si>
    <t>C16</t>
  </si>
  <si>
    <t>100pF</t>
  </si>
  <si>
    <t>C1, C2, C4, C5, C6, C7, C8, C9, C15, C17, C18, C21, C23, C25, C27, C28, C36</t>
  </si>
  <si>
    <t>0.1uF</t>
  </si>
  <si>
    <t>C11</t>
  </si>
  <si>
    <t>220uF/25V</t>
  </si>
  <si>
    <t>CAP-SMD_BD8.0-L8.3-W8.3-LS9.3-FD</t>
  </si>
  <si>
    <t>C20, C29, C30, C31, C32</t>
  </si>
  <si>
    <t>10uF/50V</t>
  </si>
  <si>
    <t>1206-CAP</t>
  </si>
  <si>
    <t>P1, P2, P3</t>
  </si>
  <si>
    <t>Header 6H</t>
  </si>
  <si>
    <t>CONN-TH_HC-ZH1.5-6A-s</t>
  </si>
  <si>
    <t>Note</t>
  </si>
  <si>
    <r>
      <rPr>
        <sz val="11"/>
        <color theme="1"/>
        <rFont val="等线"/>
        <charset val="134"/>
      </rPr>
      <t>1. 我使用的是木子晓文的</t>
    </r>
    <r>
      <rPr>
        <sz val="11"/>
        <color rgb="FFFF0000"/>
        <rFont val="等线"/>
        <charset val="134"/>
      </rPr>
      <t>v1.0.0</t>
    </r>
    <r>
      <rPr>
        <sz val="11"/>
        <color theme="1"/>
        <rFont val="等线"/>
        <charset val="134"/>
      </rPr>
      <t xml:space="preserve">版本的硬件，注意不是v1.0.1版本，这两个版本的主要区别是v1.0.1优化了2.0mm 6pin连接器的引脚顺序，具体的引脚顺序请参考下表，且v1.0.1版本PCB板上会有v1.0.1的丝印，理论上这两个版本的BOM是一样。请注意REF板和J1 Motor42板P1的连接需要使用同向线，J2-J6电机板直接的连接使用反向线，如果使用v1.0.0版本，则同向线的pin3/4需要交叉一下。
</t>
    </r>
    <r>
      <rPr>
        <b/>
        <sz val="11"/>
        <color rgb="FFFF0000"/>
        <rFont val="等线"/>
        <charset val="134"/>
      </rPr>
      <t xml:space="preserve">
</t>
    </r>
    <r>
      <rPr>
        <sz val="11"/>
        <color theme="1"/>
        <rFont val="等线"/>
        <charset val="134"/>
      </rPr>
      <t>2. 木子晓文的开源地址: https://gitee.com/switchpi/dummy, 可以从这个链接获取两个版本的硬件设计文件和代码，也可以从B站不爱学习任同学的视频下方获取百度网盘的链接</t>
    </r>
  </si>
  <si>
    <t>v1.0.0</t>
  </si>
  <si>
    <t>v1.0.1</t>
  </si>
  <si>
    <t>Pin number</t>
  </si>
  <si>
    <t>REF P1</t>
  </si>
  <si>
    <t>Motor42 P1,P2</t>
  </si>
  <si>
    <t>Motor35 P1,P2</t>
  </si>
  <si>
    <t>VCC</t>
  </si>
  <si>
    <t>CAN_H</t>
  </si>
  <si>
    <t>CAN_L</t>
  </si>
  <si>
    <t>GND</t>
  </si>
  <si>
    <t>R1, R2, R6, R7, R11, R17, R18</t>
  </si>
  <si>
    <t>R9, R10, R13, R16</t>
  </si>
  <si>
    <t>C1, C2, C4, C5, C6, C7, C8, C9, C15, C17, C18, C21, C23, C25, C26, C27, C28, C35, C36</t>
  </si>
  <si>
    <t>C11, C14</t>
  </si>
  <si>
    <t>C20, C29, C30, C31, C32, C33, C34</t>
  </si>
  <si>
    <t>VT1</t>
  </si>
  <si>
    <t>S8050</t>
  </si>
  <si>
    <t>SMT_TRIODE_NPN</t>
  </si>
  <si>
    <t>SY8089 2A</t>
  </si>
  <si>
    <t>U11</t>
  </si>
  <si>
    <t>U2</t>
  </si>
  <si>
    <t>ESP32_SIP</t>
  </si>
  <si>
    <t>QFN-48_7X7</t>
  </si>
  <si>
    <t>U1</t>
  </si>
  <si>
    <t>CP2102</t>
  </si>
  <si>
    <t>QFN-28</t>
  </si>
  <si>
    <t>U10</t>
  </si>
  <si>
    <t>MPU6050</t>
  </si>
  <si>
    <t>QFN-24</t>
  </si>
  <si>
    <t>NRF24L01</t>
  </si>
  <si>
    <t>NRF24L01-MODULE</t>
  </si>
  <si>
    <t>U12</t>
  </si>
  <si>
    <t>STM32F405RGT6</t>
  </si>
  <si>
    <t>LQFP-64_N</t>
  </si>
  <si>
    <t>U4</t>
  </si>
  <si>
    <t>MLT-7525</t>
  </si>
  <si>
    <t>BUZ-SMD_4P-L7.5-W7.5-P7.59-TL</t>
  </si>
  <si>
    <t>R22</t>
  </si>
  <si>
    <t>560K</t>
  </si>
  <si>
    <t>RES_0402_1</t>
  </si>
  <si>
    <t>R8, R9</t>
  </si>
  <si>
    <t>5.1K</t>
  </si>
  <si>
    <t>R19, R20, R23</t>
  </si>
  <si>
    <t>4.7K</t>
  </si>
  <si>
    <t>R7, R12, R17, R18</t>
  </si>
  <si>
    <t>2K</t>
  </si>
  <si>
    <t>R35</t>
  </si>
  <si>
    <t>22.1K</t>
  </si>
  <si>
    <t>R3</t>
  </si>
  <si>
    <t>200R</t>
  </si>
  <si>
    <t>R16</t>
  </si>
  <si>
    <t>R13</t>
  </si>
  <si>
    <t>R4, R6</t>
  </si>
  <si>
    <t>12K</t>
  </si>
  <si>
    <t>R24</t>
  </si>
  <si>
    <t>120R/NC</t>
  </si>
  <si>
    <t>R1, R5, R10, R11, R15, R21, R28, R34</t>
  </si>
  <si>
    <t>R33</t>
  </si>
  <si>
    <t>100K</t>
  </si>
  <si>
    <t>R2, R25, R26, R27, R29, R31</t>
  </si>
  <si>
    <t>R30</t>
  </si>
  <si>
    <t>Q1</t>
  </si>
  <si>
    <t>BC847BVC-7</t>
  </si>
  <si>
    <t>SOT563-6</t>
  </si>
  <si>
    <t>Q3</t>
  </si>
  <si>
    <t>AO3401A</t>
  </si>
  <si>
    <t>SOT23-3</t>
  </si>
  <si>
    <t>Q2</t>
  </si>
  <si>
    <t>AO3400A</t>
  </si>
  <si>
    <t>LED1</t>
  </si>
  <si>
    <t>L2</t>
  </si>
  <si>
    <t>2.2uH</t>
  </si>
  <si>
    <t>IND-252012A-2R2</t>
  </si>
  <si>
    <t>D4, D5</t>
  </si>
  <si>
    <t>D3</t>
  </si>
  <si>
    <t>C13</t>
  </si>
  <si>
    <t>22pF</t>
  </si>
  <si>
    <t>C7, C9</t>
  </si>
  <si>
    <t>C24</t>
  </si>
  <si>
    <t>2.2nF</t>
  </si>
  <si>
    <t>C3</t>
  </si>
  <si>
    <t>1uF</t>
  </si>
  <si>
    <t>C1, C15, C26, C27, C33, C34, C35</t>
  </si>
  <si>
    <t>C20</t>
  </si>
  <si>
    <t>10nF</t>
  </si>
  <si>
    <t>C2, C4, C8, C12, C14, C18, C19, C21, C22, C23, C25, C28, C29, C30, C31, C32, C36, C37</t>
  </si>
  <si>
    <t>C6</t>
  </si>
  <si>
    <t>4.7uF</t>
  </si>
  <si>
    <t>C0603</t>
  </si>
  <si>
    <t>C5, C10, C17</t>
  </si>
  <si>
    <t>22uF</t>
  </si>
  <si>
    <t>A1</t>
  </si>
  <si>
    <t>RAINSUN</t>
  </si>
  <si>
    <t>ANT-Rainsun-AN5120</t>
  </si>
  <si>
    <t>OLED-12880</t>
  </si>
  <si>
    <t>P1</t>
  </si>
  <si>
    <t>CONN-TH_HC-ZH1.5-6A</t>
  </si>
  <si>
    <t>P2</t>
  </si>
  <si>
    <t>P3</t>
  </si>
  <si>
    <t>Header 3</t>
  </si>
  <si>
    <t>CONN-TH_HC-ZH1.5-3A-S</t>
  </si>
  <si>
    <t>J1</t>
  </si>
  <si>
    <t>USB-TYPE-C-STAND</t>
  </si>
  <si>
    <t>名称</t>
  </si>
  <si>
    <t>价格</t>
  </si>
  <si>
    <r>
      <rPr>
        <sz val="11"/>
        <color theme="1"/>
        <rFont val="宋体"/>
        <charset val="134"/>
      </rPr>
      <t>立创商城</t>
    </r>
    <r>
      <rPr>
        <sz val="11"/>
        <color theme="1"/>
        <rFont val="Calibri"/>
        <charset val="134"/>
      </rPr>
      <t>BOM</t>
    </r>
  </si>
  <si>
    <r>
      <rPr>
        <sz val="11"/>
        <color theme="1"/>
        <rFont val="Calibri"/>
        <charset val="134"/>
      </rPr>
      <t>PCB</t>
    </r>
    <r>
      <rPr>
        <sz val="11"/>
        <color theme="1"/>
        <rFont val="宋体"/>
        <charset val="134"/>
      </rPr>
      <t>打样</t>
    </r>
  </si>
  <si>
    <r>
      <rPr>
        <sz val="11"/>
        <color theme="1"/>
        <rFont val="Calibri"/>
        <charset val="134"/>
      </rPr>
      <t>3D</t>
    </r>
    <r>
      <rPr>
        <sz val="11"/>
        <color theme="1"/>
        <rFont val="宋体"/>
        <charset val="134"/>
      </rPr>
      <t>打印</t>
    </r>
  </si>
  <si>
    <r>
      <rPr>
        <sz val="11"/>
        <color theme="1"/>
        <rFont val="Calibri"/>
        <charset val="134"/>
      </rPr>
      <t>CNC</t>
    </r>
    <r>
      <rPr>
        <sz val="11"/>
        <color theme="1"/>
        <rFont val="宋体"/>
        <charset val="134"/>
      </rPr>
      <t>结构件</t>
    </r>
  </si>
  <si>
    <r>
      <rPr>
        <sz val="11"/>
        <color theme="1"/>
        <rFont val="宋体"/>
        <charset val="134"/>
      </rPr>
      <t>电机和减速器</t>
    </r>
  </si>
  <si>
    <r>
      <rPr>
        <sz val="11"/>
        <color theme="1"/>
        <rFont val="宋体"/>
        <charset val="134"/>
      </rPr>
      <t>螺丝</t>
    </r>
  </si>
  <si>
    <t>总价</t>
  </si>
  <si>
    <r>
      <rPr>
        <sz val="11"/>
        <color theme="1"/>
        <rFont val="微软雅黑"/>
        <charset val="134"/>
      </rPr>
      <t>合并了</t>
    </r>
    <r>
      <rPr>
        <sz val="11"/>
        <color theme="1"/>
        <rFont val="Calibri"/>
        <charset val="134"/>
      </rPr>
      <t>REF,</t>
    </r>
    <r>
      <rPr>
        <sz val="11"/>
        <color theme="1"/>
        <rFont val="微软雅黑"/>
        <charset val="134"/>
      </rPr>
      <t>电机板中相同的物料</t>
    </r>
  </si>
  <si>
    <t>REF Board</t>
  </si>
  <si>
    <t>Total Quantity</t>
  </si>
  <si>
    <r>
      <rPr>
        <sz val="11"/>
        <color theme="1"/>
        <rFont val="微软雅黑"/>
        <charset val="134"/>
      </rPr>
      <t>立创商城编号</t>
    </r>
  </si>
  <si>
    <r>
      <rPr>
        <sz val="11"/>
        <rFont val="微软雅黑"/>
        <charset val="0"/>
      </rPr>
      <t>购买数量</t>
    </r>
  </si>
  <si>
    <r>
      <rPr>
        <sz val="11"/>
        <rFont val="微软雅黑"/>
        <charset val="0"/>
      </rPr>
      <t>单价</t>
    </r>
  </si>
  <si>
    <r>
      <rPr>
        <sz val="11"/>
        <rFont val="微软雅黑"/>
        <charset val="0"/>
      </rPr>
      <t>总价</t>
    </r>
  </si>
  <si>
    <r>
      <rPr>
        <sz val="11"/>
        <rFont val="微软雅黑"/>
        <charset val="0"/>
      </rPr>
      <t>淘宝单价数量</t>
    </r>
  </si>
  <si>
    <r>
      <rPr>
        <sz val="11"/>
        <rFont val="微软雅黑"/>
        <charset val="0"/>
      </rPr>
      <t>淘宝购买数量</t>
    </r>
  </si>
  <si>
    <r>
      <rPr>
        <sz val="11"/>
        <rFont val="微软雅黑"/>
        <charset val="0"/>
      </rPr>
      <t>淘宝购买总价</t>
    </r>
  </si>
  <si>
    <r>
      <rPr>
        <sz val="11"/>
        <rFont val="微软雅黑"/>
        <charset val="0"/>
      </rPr>
      <t>余量</t>
    </r>
  </si>
  <si>
    <t>Comments</t>
  </si>
  <si>
    <t>C400090</t>
  </si>
  <si>
    <t>8MHz</t>
  </si>
  <si>
    <t>C20069125</t>
  </si>
  <si>
    <t>C97643</t>
  </si>
  <si>
    <t>C479074</t>
  </si>
  <si>
    <t>C30530</t>
  </si>
  <si>
    <t>C193707</t>
  </si>
  <si>
    <t>C964632</t>
  </si>
  <si>
    <r>
      <rPr>
        <sz val="11"/>
        <rFont val="宋体"/>
        <charset val="0"/>
      </rPr>
      <t>自有</t>
    </r>
  </si>
  <si>
    <t>C15742</t>
  </si>
  <si>
    <t>C95299</t>
  </si>
  <si>
    <t>C2909369</t>
  </si>
  <si>
    <r>
      <rPr>
        <sz val="11"/>
        <color theme="1"/>
        <rFont val="宋体"/>
        <charset val="134"/>
      </rPr>
      <t>自有</t>
    </r>
  </si>
  <si>
    <t>C25900</t>
  </si>
  <si>
    <t>C2929993</t>
  </si>
  <si>
    <t>C25087</t>
  </si>
  <si>
    <t>R16,R30</t>
  </si>
  <si>
    <t>C26083</t>
  </si>
  <si>
    <t>2+6+6</t>
  </si>
  <si>
    <t>C25752</t>
  </si>
  <si>
    <r>
      <t>1</t>
    </r>
    <r>
      <rPr>
        <sz val="11"/>
        <color theme="1"/>
        <rFont val="Calibri"/>
        <charset val="134"/>
      </rPr>
      <t>+3+3</t>
    </r>
  </si>
  <si>
    <t>8+12+9</t>
  </si>
  <si>
    <t>C25871</t>
  </si>
  <si>
    <t>C106231</t>
  </si>
  <si>
    <t>C150761</t>
  </si>
  <si>
    <t>C15127</t>
  </si>
  <si>
    <t>C20917</t>
  </si>
  <si>
    <t>C12624</t>
  </si>
  <si>
    <t>C5380714</t>
  </si>
  <si>
    <t>C2757911</t>
  </si>
  <si>
    <t>C2927280</t>
  </si>
  <si>
    <t>C19077583</t>
  </si>
  <si>
    <t>C7420369</t>
  </si>
  <si>
    <t>C1555</t>
  </si>
  <si>
    <t>C107000</t>
  </si>
  <si>
    <t>C1531</t>
  </si>
  <si>
    <t>C6119763</t>
  </si>
  <si>
    <t>C60133</t>
  </si>
  <si>
    <t>C5137573</t>
  </si>
  <si>
    <t>C5137468</t>
  </si>
  <si>
    <t>C2918361</t>
  </si>
  <si>
    <t>C6119856</t>
  </si>
  <si>
    <t>C6119868</t>
  </si>
  <si>
    <t>C99727</t>
  </si>
  <si>
    <t>C5123562</t>
  </si>
  <si>
    <t>C2845554</t>
  </si>
  <si>
    <t>C2845551</t>
  </si>
  <si>
    <t>C7450622</t>
  </si>
  <si>
    <t>Motrol Board</t>
  </si>
  <si>
    <t>C5280576</t>
  </si>
  <si>
    <t>12MHz</t>
  </si>
  <si>
    <t>C5370974</t>
  </si>
  <si>
    <t>C5449395</t>
  </si>
  <si>
    <t>C545417</t>
  </si>
  <si>
    <t>C279569</t>
  </si>
  <si>
    <t>C319050</t>
  </si>
  <si>
    <t>C77131</t>
  </si>
  <si>
    <t>C25890</t>
  </si>
  <si>
    <t>C2909315</t>
  </si>
  <si>
    <t>C25334</t>
  </si>
  <si>
    <t>C561517</t>
  </si>
  <si>
    <t>C7432781</t>
  </si>
  <si>
    <t>C49164949</t>
  </si>
  <si>
    <t>Led Ring board</t>
  </si>
  <si>
    <t>D1,D2,D3,D4,D5,D6,D7,D8,D9,D10,D11,D12</t>
  </si>
  <si>
    <t>WS2812B</t>
  </si>
  <si>
    <t>C2761795</t>
  </si>
  <si>
    <r>
      <t>BOM</t>
    </r>
    <r>
      <rPr>
        <b/>
        <sz val="11"/>
        <color theme="1"/>
        <rFont val="宋体"/>
        <charset val="134"/>
      </rPr>
      <t>总价</t>
    </r>
  </si>
  <si>
    <r>
      <rPr>
        <sz val="11"/>
        <color theme="1"/>
        <rFont val="宋体"/>
        <charset val="134"/>
      </rPr>
      <t>迷你版</t>
    </r>
    <r>
      <rPr>
        <sz val="11"/>
        <color theme="1"/>
        <rFont val="Calibri"/>
        <charset val="134"/>
      </rPr>
      <t xml:space="preserve"> NRF24L01 </t>
    </r>
    <r>
      <rPr>
        <sz val="11"/>
        <color theme="1"/>
        <rFont val="宋体"/>
        <charset val="134"/>
      </rPr>
      <t>无线模块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功率加强版</t>
    </r>
    <r>
      <rPr>
        <sz val="11"/>
        <color theme="1"/>
        <rFont val="Calibri"/>
        <charset val="134"/>
      </rPr>
      <t xml:space="preserve"> 2.4G</t>
    </r>
    <r>
      <rPr>
        <sz val="11"/>
        <color theme="1"/>
        <rFont val="宋体"/>
        <charset val="134"/>
      </rPr>
      <t>无线收发模块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淘宝网</t>
    </r>
  </si>
  <si>
    <r>
      <t>0.78</t>
    </r>
    <r>
      <rPr>
        <sz val="11"/>
        <color theme="1"/>
        <rFont val="宋体"/>
        <charset val="134"/>
      </rPr>
      <t>寸</t>
    </r>
    <r>
      <rPr>
        <sz val="11"/>
        <color theme="1"/>
        <rFont val="Calibri"/>
        <charset val="134"/>
      </rPr>
      <t>OLED</t>
    </r>
    <r>
      <rPr>
        <sz val="11"/>
        <color theme="1"/>
        <rFont val="宋体"/>
        <charset val="134"/>
      </rPr>
      <t>液晶显示屏</t>
    </r>
    <r>
      <rPr>
        <sz val="11"/>
        <color theme="1"/>
        <rFont val="Calibri"/>
        <charset val="134"/>
      </rPr>
      <t>128x80</t>
    </r>
    <r>
      <rPr>
        <sz val="11"/>
        <color theme="1"/>
        <rFont val="宋体"/>
        <charset val="134"/>
      </rPr>
      <t>驱动</t>
    </r>
    <r>
      <rPr>
        <sz val="11"/>
        <color theme="1"/>
        <rFont val="Calibri"/>
        <charset val="134"/>
      </rPr>
      <t>SH1107</t>
    </r>
    <r>
      <rPr>
        <sz val="11"/>
        <color theme="1"/>
        <rFont val="宋体"/>
        <charset val="134"/>
      </rPr>
      <t>接口</t>
    </r>
    <r>
      <rPr>
        <sz val="11"/>
        <color theme="1"/>
        <rFont val="Calibri"/>
        <charset val="134"/>
      </rPr>
      <t>IIC/SPI</t>
    </r>
    <r>
      <rPr>
        <sz val="11"/>
        <color theme="1"/>
        <rFont val="宋体"/>
        <charset val="134"/>
      </rPr>
      <t>白光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134"/>
      </rPr>
      <t>针模块</t>
    </r>
    <r>
      <rPr>
        <sz val="11"/>
        <color theme="1"/>
        <rFont val="Calibri"/>
        <charset val="134"/>
      </rPr>
      <t>-</t>
    </r>
    <r>
      <rPr>
        <sz val="11"/>
        <color theme="1"/>
        <rFont val="宋体"/>
        <charset val="134"/>
      </rPr>
      <t>淘宝网</t>
    </r>
  </si>
  <si>
    <r>
      <t xml:space="preserve">1. </t>
    </r>
    <r>
      <rPr>
        <sz val="11"/>
        <color theme="1"/>
        <rFont val="等线"/>
        <charset val="134"/>
      </rPr>
      <t>我使用的是木子晓文的</t>
    </r>
    <r>
      <rPr>
        <sz val="11"/>
        <color rgb="FFFF0000"/>
        <rFont val="Calibri"/>
        <charset val="134"/>
      </rPr>
      <t>v1.0.0</t>
    </r>
    <r>
      <rPr>
        <sz val="11"/>
        <color theme="1"/>
        <rFont val="等线"/>
        <charset val="134"/>
      </rPr>
      <t>版本的硬件，注意不是</t>
    </r>
    <r>
      <rPr>
        <sz val="11"/>
        <color theme="1"/>
        <rFont val="Calibri"/>
        <charset val="134"/>
      </rPr>
      <t>v1.0.1</t>
    </r>
    <r>
      <rPr>
        <sz val="11"/>
        <color theme="1"/>
        <rFont val="等线"/>
        <charset val="134"/>
      </rPr>
      <t>版本，这两个版本的主要区别是</t>
    </r>
    <r>
      <rPr>
        <sz val="11"/>
        <color theme="1"/>
        <rFont val="Calibri"/>
        <charset val="134"/>
      </rPr>
      <t>v1.0.1</t>
    </r>
    <r>
      <rPr>
        <sz val="11"/>
        <color theme="1"/>
        <rFont val="等线"/>
        <charset val="134"/>
      </rPr>
      <t>优化了</t>
    </r>
    <r>
      <rPr>
        <sz val="11"/>
        <color theme="1"/>
        <rFont val="Calibri"/>
        <charset val="134"/>
      </rPr>
      <t>2.0mm 6pin</t>
    </r>
    <r>
      <rPr>
        <sz val="11"/>
        <color theme="1"/>
        <rFont val="等线"/>
        <charset val="134"/>
      </rPr>
      <t>连接器的引脚顺序，具体的引脚顺序请参考下表，且</t>
    </r>
    <r>
      <rPr>
        <sz val="11"/>
        <color theme="1"/>
        <rFont val="Calibri"/>
        <charset val="134"/>
      </rPr>
      <t>v1.0.1</t>
    </r>
    <r>
      <rPr>
        <sz val="11"/>
        <color theme="1"/>
        <rFont val="等线"/>
        <charset val="134"/>
      </rPr>
      <t>版本</t>
    </r>
    <r>
      <rPr>
        <sz val="11"/>
        <color theme="1"/>
        <rFont val="Calibri"/>
        <charset val="134"/>
      </rPr>
      <t>PCB</t>
    </r>
    <r>
      <rPr>
        <sz val="11"/>
        <color theme="1"/>
        <rFont val="等线"/>
        <charset val="134"/>
      </rPr>
      <t>板上会有</t>
    </r>
    <r>
      <rPr>
        <sz val="11"/>
        <color theme="1"/>
        <rFont val="Calibri"/>
        <charset val="134"/>
      </rPr>
      <t>v1.0.1</t>
    </r>
    <r>
      <rPr>
        <sz val="11"/>
        <color theme="1"/>
        <rFont val="等线"/>
        <charset val="134"/>
      </rPr>
      <t>的丝印，理论上这两个版本的</t>
    </r>
    <r>
      <rPr>
        <sz val="11"/>
        <color theme="1"/>
        <rFont val="Calibri"/>
        <charset val="134"/>
      </rPr>
      <t>BOM</t>
    </r>
    <r>
      <rPr>
        <sz val="11"/>
        <color theme="1"/>
        <rFont val="等线"/>
        <charset val="134"/>
      </rPr>
      <t>是一样。请注意</t>
    </r>
    <r>
      <rPr>
        <sz val="11"/>
        <color theme="1"/>
        <rFont val="Calibri"/>
        <charset val="134"/>
      </rPr>
      <t>REF</t>
    </r>
    <r>
      <rPr>
        <sz val="11"/>
        <color theme="1"/>
        <rFont val="等线"/>
        <charset val="134"/>
      </rPr>
      <t>板和</t>
    </r>
    <r>
      <rPr>
        <sz val="11"/>
        <color theme="1"/>
        <rFont val="Calibri"/>
        <charset val="134"/>
      </rPr>
      <t>J1 Motor42</t>
    </r>
    <r>
      <rPr>
        <sz val="11"/>
        <color theme="1"/>
        <rFont val="等线"/>
        <charset val="134"/>
      </rPr>
      <t>板</t>
    </r>
    <r>
      <rPr>
        <sz val="11"/>
        <color theme="1"/>
        <rFont val="Calibri"/>
        <charset val="134"/>
      </rPr>
      <t>P1</t>
    </r>
    <r>
      <rPr>
        <sz val="11"/>
        <color theme="1"/>
        <rFont val="等线"/>
        <charset val="134"/>
      </rPr>
      <t>的连接需要使用同向线，</t>
    </r>
    <r>
      <rPr>
        <sz val="11"/>
        <color theme="1"/>
        <rFont val="Calibri"/>
        <charset val="134"/>
      </rPr>
      <t>J2-J6</t>
    </r>
    <r>
      <rPr>
        <sz val="11"/>
        <color theme="1"/>
        <rFont val="等线"/>
        <charset val="134"/>
      </rPr>
      <t>电机板直接的连接使用反向线，如果使用</t>
    </r>
    <r>
      <rPr>
        <sz val="11"/>
        <color theme="1"/>
        <rFont val="Calibri"/>
        <charset val="134"/>
      </rPr>
      <t>v1.0.0</t>
    </r>
    <r>
      <rPr>
        <sz val="11"/>
        <color theme="1"/>
        <rFont val="等线"/>
        <charset val="134"/>
      </rPr>
      <t>版本，则同向线的</t>
    </r>
    <r>
      <rPr>
        <sz val="11"/>
        <color theme="1"/>
        <rFont val="Calibri"/>
        <charset val="134"/>
      </rPr>
      <t>pin3/4</t>
    </r>
    <r>
      <rPr>
        <sz val="11"/>
        <color theme="1"/>
        <rFont val="等线"/>
        <charset val="134"/>
      </rPr>
      <t>需要交叉一下。</t>
    </r>
    <r>
      <rPr>
        <sz val="11"/>
        <color theme="1"/>
        <rFont val="Calibri"/>
        <charset val="134"/>
      </rPr>
      <t xml:space="preserve">
</t>
    </r>
    <r>
      <rPr>
        <b/>
        <sz val="11"/>
        <color rgb="FFFF0000"/>
        <rFont val="Calibri"/>
        <charset val="134"/>
      </rPr>
      <t xml:space="preserve">
</t>
    </r>
    <r>
      <rPr>
        <sz val="11"/>
        <color theme="1"/>
        <rFont val="Calibri"/>
        <charset val="134"/>
      </rPr>
      <t xml:space="preserve">2. </t>
    </r>
    <r>
      <rPr>
        <sz val="11"/>
        <color theme="1"/>
        <rFont val="等线"/>
        <charset val="134"/>
      </rPr>
      <t>木子晓文的开源地址</t>
    </r>
    <r>
      <rPr>
        <sz val="11"/>
        <color theme="1"/>
        <rFont val="Calibri"/>
        <charset val="134"/>
      </rPr>
      <t xml:space="preserve">: https://gitee.com/switchpi/dummy, </t>
    </r>
    <r>
      <rPr>
        <sz val="11"/>
        <color theme="1"/>
        <rFont val="等线"/>
        <charset val="134"/>
      </rPr>
      <t>可以从这个链接获取两个版本的硬件设计文件和代码，也可以从</t>
    </r>
    <r>
      <rPr>
        <sz val="11"/>
        <color theme="1"/>
        <rFont val="Calibri"/>
        <charset val="134"/>
      </rPr>
      <t>B</t>
    </r>
    <r>
      <rPr>
        <sz val="11"/>
        <color theme="1"/>
        <rFont val="等线"/>
        <charset val="134"/>
      </rPr>
      <t>站不爱学习任同学的视频下方获取百度网盘的链接</t>
    </r>
  </si>
  <si>
    <r>
      <rPr>
        <b/>
        <sz val="11"/>
        <color theme="1"/>
        <rFont val="微软雅黑"/>
        <charset val="134"/>
      </rPr>
      <t>嘉立创</t>
    </r>
    <r>
      <rPr>
        <b/>
        <sz val="11"/>
        <color theme="1"/>
        <rFont val="Calibri"/>
        <charset val="134"/>
      </rPr>
      <t>PCB</t>
    </r>
    <r>
      <rPr>
        <b/>
        <sz val="11"/>
        <color theme="1"/>
        <rFont val="微软雅黑"/>
        <charset val="134"/>
      </rPr>
      <t>打样</t>
    </r>
  </si>
  <si>
    <r>
      <rPr>
        <b/>
        <sz val="11"/>
        <color theme="1"/>
        <rFont val="微软雅黑"/>
        <charset val="134"/>
      </rPr>
      <t>名称</t>
    </r>
  </si>
  <si>
    <r>
      <rPr>
        <b/>
        <sz val="11"/>
        <color theme="1"/>
        <rFont val="微软雅黑"/>
        <charset val="134"/>
      </rPr>
      <t>数量</t>
    </r>
  </si>
  <si>
    <r>
      <rPr>
        <b/>
        <sz val="11"/>
        <color theme="1"/>
        <rFont val="微软雅黑"/>
        <charset val="134"/>
      </rPr>
      <t>价格</t>
    </r>
  </si>
  <si>
    <r>
      <rPr>
        <sz val="11"/>
        <color theme="1"/>
        <rFont val="Calibri"/>
        <charset val="134"/>
      </rPr>
      <t>Ref</t>
    </r>
    <r>
      <rPr>
        <sz val="11"/>
        <color theme="1"/>
        <rFont val="微软雅黑"/>
        <charset val="134"/>
      </rPr>
      <t>板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</si>
  <si>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微软雅黑"/>
        <charset val="134"/>
      </rPr>
      <t>电机板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</si>
  <si>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电机板</t>
    </r>
  </si>
  <si>
    <t>LedRing</t>
  </si>
  <si>
    <r>
      <rPr>
        <b/>
        <sz val="11"/>
        <color theme="1"/>
        <rFont val="微软雅黑"/>
        <charset val="134"/>
      </rPr>
      <t>总价</t>
    </r>
  </si>
  <si>
    <t>嘉立创3D打印</t>
  </si>
  <si>
    <t>单价</t>
  </si>
  <si>
    <r>
      <rPr>
        <sz val="11"/>
        <color theme="1"/>
        <rFont val="Calibri"/>
        <charset val="134"/>
      </rPr>
      <t>35</t>
    </r>
    <r>
      <rPr>
        <sz val="11"/>
        <color theme="1"/>
        <rFont val="宋体"/>
        <charset val="134"/>
      </rPr>
      <t>电机底板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</si>
  <si>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宋体"/>
        <charset val="134"/>
      </rPr>
      <t>电机顶板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</si>
  <si>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宋体"/>
        <charset val="134"/>
      </rPr>
      <t>电机底板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</si>
  <si>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宋体"/>
        <charset val="134"/>
      </rPr>
      <t>电机顶板</t>
    </r>
  </si>
  <si>
    <r>
      <rPr>
        <sz val="11"/>
        <color theme="1"/>
        <rFont val="宋体"/>
        <charset val="134"/>
      </rPr>
      <t>税费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134"/>
      </rPr>
      <t>运费</t>
    </r>
  </si>
  <si>
    <r>
      <rPr>
        <sz val="11"/>
        <color theme="1"/>
        <rFont val="宋体"/>
        <charset val="134"/>
      </rPr>
      <t>如果是准备用任同学</t>
    </r>
    <r>
      <rPr>
        <sz val="11"/>
        <color theme="1"/>
        <rFont val="Calibri"/>
        <charset val="134"/>
      </rPr>
      <t>DummyV2</t>
    </r>
    <r>
      <rPr>
        <sz val="11"/>
        <color theme="1"/>
        <rFont val="宋体"/>
        <charset val="134"/>
      </rPr>
      <t>版本的</t>
    </r>
    <r>
      <rPr>
        <sz val="11"/>
        <color theme="1"/>
        <rFont val="Calibri"/>
        <charset val="134"/>
      </rPr>
      <t>CNC</t>
    </r>
    <r>
      <rPr>
        <sz val="11"/>
        <color theme="1"/>
        <rFont val="宋体"/>
        <charset val="134"/>
      </rPr>
      <t>结构件，这里建议使用任同学版本的模型，我的视频中用的是木子晓文的模型</t>
    </r>
  </si>
  <si>
    <t>CNC结构件 (咸鱼购买)</t>
  </si>
  <si>
    <t>全套CNC包括底座</t>
  </si>
  <si>
    <t>CNC底板</t>
  </si>
  <si>
    <r>
      <rPr>
        <b/>
        <sz val="11"/>
        <color theme="1"/>
        <rFont val="微软雅黑"/>
        <charset val="134"/>
      </rPr>
      <t>型号</t>
    </r>
  </si>
  <si>
    <r>
      <rPr>
        <b/>
        <sz val="11"/>
        <color theme="1"/>
        <rFont val="微软雅黑"/>
        <charset val="134"/>
      </rPr>
      <t>单价</t>
    </r>
  </si>
  <si>
    <r>
      <rPr>
        <b/>
        <sz val="11"/>
        <color theme="1"/>
        <rFont val="微软雅黑"/>
        <charset val="134"/>
      </rPr>
      <t>购买连接</t>
    </r>
  </si>
  <si>
    <r>
      <rPr>
        <b/>
        <sz val="11"/>
        <color theme="1"/>
        <rFont val="微软雅黑"/>
        <charset val="134"/>
      </rPr>
      <t>备注</t>
    </r>
  </si>
  <si>
    <r>
      <rPr>
        <sz val="11"/>
        <color theme="1"/>
        <rFont val="Calibri"/>
        <charset val="134"/>
      </rPr>
      <t>42</t>
    </r>
    <r>
      <rPr>
        <sz val="11"/>
        <color theme="1"/>
        <rFont val="微软雅黑"/>
        <charset val="134"/>
      </rPr>
      <t>电机</t>
    </r>
  </si>
  <si>
    <t>l=40 1A, MT-1703HS168A</t>
  </si>
  <si>
    <t>https://item.taobao.com/item.htm?id=549501040122&amp;mi_id=0000BKZm8Kkl4DfCgLk--S0zKDyvYQ2x4-MOus_QTMDz5H4&amp;spm=tbpc.boughtlist.suborder_itempic.d549501040122.7d272e8d0x9Xzu</t>
  </si>
  <si>
    <t>需要自己安装径向磁铁</t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</si>
  <si>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电机</t>
    </r>
  </si>
  <si>
    <r>
      <rPr>
        <sz val="11"/>
        <color theme="1"/>
        <rFont val="Calibri"/>
        <charset val="134"/>
      </rPr>
      <t xml:space="preserve">I=28 , </t>
    </r>
    <r>
      <rPr>
        <sz val="11"/>
        <color theme="1"/>
        <rFont val="微软雅黑"/>
        <charset val="134"/>
      </rPr>
      <t>轴长</t>
    </r>
    <r>
      <rPr>
        <sz val="11"/>
        <color theme="1"/>
        <rFont val="Calibri"/>
        <charset val="134"/>
      </rPr>
      <t>24cm, 35HS2808A4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</si>
  <si>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步进电机微型小电机身长</t>
    </r>
    <r>
      <rPr>
        <sz val="11"/>
        <color theme="1"/>
        <rFont val="Calibri"/>
        <charset val="134"/>
      </rPr>
      <t>28mm</t>
    </r>
    <r>
      <rPr>
        <sz val="11"/>
        <color theme="1"/>
        <rFont val="微软雅黑"/>
        <charset val="134"/>
      </rPr>
      <t>力矩</t>
    </r>
    <r>
      <rPr>
        <sz val="11"/>
        <color theme="1"/>
        <rFont val="Calibri"/>
        <charset val="134"/>
      </rPr>
      <t>12Ncm</t>
    </r>
    <r>
      <rPr>
        <sz val="11"/>
        <color theme="1"/>
        <rFont val="微软雅黑"/>
        <charset val="134"/>
      </rPr>
      <t>四线单双轴</t>
    </r>
    <r>
      <rPr>
        <sz val="11"/>
        <color theme="1"/>
        <rFont val="Calibri"/>
        <charset val="134"/>
      </rPr>
      <t>35byg</t>
    </r>
    <r>
      <rPr>
        <sz val="11"/>
        <color theme="1"/>
        <rFont val="微软雅黑"/>
        <charset val="134"/>
      </rPr>
      <t>步进马达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</si>
  <si>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t>需要自己安装径向磁铁，如果不考虑价格，建议大家直接购买下面的那款带径向磁铁的</t>
  </si>
  <si>
    <r>
      <rPr>
        <sz val="11"/>
        <color theme="1"/>
        <rFont val="Calibri"/>
        <charset val="134"/>
      </rPr>
      <t xml:space="preserve">I=28 ,  </t>
    </r>
    <r>
      <rPr>
        <sz val="11"/>
        <color theme="1"/>
        <rFont val="微软雅黑"/>
        <charset val="134"/>
      </rPr>
      <t>轴长</t>
    </r>
    <r>
      <rPr>
        <sz val="11"/>
        <color theme="1"/>
        <rFont val="Calibri"/>
        <charset val="134"/>
      </rPr>
      <t>19</t>
    </r>
  </si>
  <si>
    <r>
      <rPr>
        <sz val="11"/>
        <color theme="1"/>
        <rFont val="Calibri"/>
        <charset val="134"/>
      </rPr>
      <t>35</t>
    </r>
    <r>
      <rPr>
        <sz val="11"/>
        <color theme="1"/>
        <rFont val="微软雅黑"/>
        <charset val="134"/>
      </rPr>
      <t>步进电机带磁柱孔马达两相四线雕刻机写字机闭环加装</t>
    </r>
    <r>
      <rPr>
        <sz val="11"/>
        <color theme="1"/>
        <rFont val="Calibri"/>
        <charset val="134"/>
      </rPr>
      <t>3D</t>
    </r>
    <r>
      <rPr>
        <sz val="11"/>
        <color theme="1"/>
        <rFont val="微软雅黑"/>
        <charset val="134"/>
      </rPr>
      <t>打印配件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</si>
  <si>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b/>
        <sz val="11"/>
        <color theme="1"/>
        <rFont val="Calibri"/>
        <charset val="134"/>
      </rPr>
      <t>J4</t>
    </r>
    <r>
      <rPr>
        <b/>
        <sz val="11"/>
        <color theme="1"/>
        <rFont val="微软雅黑"/>
        <charset val="134"/>
      </rPr>
      <t>电机，需要配合法兰盘和</t>
    </r>
    <r>
      <rPr>
        <b/>
        <sz val="11"/>
        <color theme="1"/>
        <rFont val="Calibri"/>
        <charset val="134"/>
      </rPr>
      <t>Mini11</t>
    </r>
    <r>
      <rPr>
        <b/>
        <sz val="11"/>
        <color theme="1"/>
        <rFont val="微软雅黑"/>
        <charset val="134"/>
      </rPr>
      <t>减速器安装在一起，电机轴不能太长了</t>
    </r>
  </si>
  <si>
    <t>I=20, 35BYGH20</t>
  </si>
  <si>
    <r>
      <rPr>
        <sz val="11"/>
        <color theme="1"/>
        <rFont val="Calibri"/>
        <charset val="134"/>
      </rPr>
      <t>J6</t>
    </r>
    <r>
      <rPr>
        <sz val="11"/>
        <color theme="1"/>
        <rFont val="微软雅黑"/>
        <charset val="134"/>
      </rPr>
      <t>电机</t>
    </r>
  </si>
  <si>
    <r>
      <rPr>
        <sz val="11"/>
        <color theme="1"/>
        <rFont val="微软雅黑"/>
        <charset val="134"/>
      </rPr>
      <t>谐波减速器</t>
    </r>
  </si>
  <si>
    <t>MINIF11-50-B</t>
  </si>
  <si>
    <t>https://item.taobao.com/item.htm?id=902846205607&amp;mi_id=00006xRajiwW0RE3tr5dTLZJMXzkLeJzecdbgl-_MsJu_9U&amp;spm=tbpc.boughtlist.suborder_itempic.d902846205607.7d272e8d0x9Xzu</t>
  </si>
  <si>
    <r>
      <rPr>
        <b/>
        <sz val="11"/>
        <color theme="1"/>
        <rFont val="Calibri"/>
        <charset val="134"/>
      </rPr>
      <t>4</t>
    </r>
    <r>
      <rPr>
        <b/>
        <sz val="11"/>
        <color theme="1"/>
        <rFont val="微软雅黑"/>
        <charset val="134"/>
      </rPr>
      <t>个</t>
    </r>
    <r>
      <rPr>
        <b/>
        <sz val="11"/>
        <color theme="1"/>
        <rFont val="Calibri"/>
        <charset val="134"/>
      </rPr>
      <t>Mini11</t>
    </r>
    <r>
      <rPr>
        <b/>
        <sz val="11"/>
        <color theme="1"/>
        <rFont val="微软雅黑"/>
        <charset val="134"/>
      </rPr>
      <t>，</t>
    </r>
    <r>
      <rPr>
        <b/>
        <sz val="11"/>
        <color theme="1"/>
        <rFont val="Calibri"/>
        <charset val="134"/>
      </rPr>
      <t>1</t>
    </r>
    <r>
      <rPr>
        <b/>
        <sz val="11"/>
        <color theme="1"/>
        <rFont val="微软雅黑"/>
        <charset val="134"/>
      </rPr>
      <t>个</t>
    </r>
    <r>
      <rPr>
        <b/>
        <sz val="11"/>
        <color theme="1"/>
        <rFont val="Calibri"/>
        <charset val="134"/>
      </rPr>
      <t>Mini8</t>
    </r>
    <r>
      <rPr>
        <b/>
        <sz val="11"/>
        <color theme="1"/>
        <rFont val="微软雅黑"/>
        <charset val="134"/>
      </rPr>
      <t>是任同学</t>
    </r>
    <r>
      <rPr>
        <b/>
        <sz val="11"/>
        <color theme="1"/>
        <rFont val="Calibri"/>
        <charset val="134"/>
      </rPr>
      <t>V2</t>
    </r>
    <r>
      <rPr>
        <b/>
        <sz val="11"/>
        <color theme="1"/>
        <rFont val="微软雅黑"/>
        <charset val="134"/>
      </rPr>
      <t>的配置，如果是复刻稚晖君原版或者木子晓汶版机械臂，则谐波减速器的配置是不同的</t>
    </r>
  </si>
  <si>
    <t>MINIF8-50-B</t>
  </si>
  <si>
    <r>
      <rPr>
        <sz val="11"/>
        <color theme="1"/>
        <rFont val="微软雅黑"/>
        <charset val="134"/>
      </rPr>
      <t>同步轮</t>
    </r>
  </si>
  <si>
    <r>
      <rPr>
        <sz val="11"/>
        <color theme="1"/>
        <rFont val="Calibri"/>
        <charset val="134"/>
      </rPr>
      <t>20</t>
    </r>
    <r>
      <rPr>
        <sz val="11"/>
        <color theme="1"/>
        <rFont val="微软雅黑"/>
        <charset val="134"/>
      </rPr>
      <t>齿轮内孔</t>
    </r>
    <r>
      <rPr>
        <sz val="11"/>
        <color theme="1"/>
        <rFont val="Calibri"/>
        <charset val="134"/>
      </rPr>
      <t>5mm</t>
    </r>
    <r>
      <rPr>
        <sz val="11"/>
        <color theme="1"/>
        <rFont val="微软雅黑"/>
        <charset val="134"/>
      </rPr>
      <t>外径</t>
    </r>
    <r>
      <rPr>
        <sz val="11"/>
        <color theme="1"/>
        <rFont val="Calibri"/>
        <charset val="134"/>
      </rPr>
      <t>18</t>
    </r>
  </si>
  <si>
    <r>
      <rPr>
        <sz val="11"/>
        <color theme="1"/>
        <rFont val="Calibri"/>
        <charset val="134"/>
      </rPr>
      <t>2gt</t>
    </r>
    <r>
      <rPr>
        <sz val="11"/>
        <color theme="1"/>
        <rFont val="微软雅黑"/>
        <charset val="134"/>
      </rPr>
      <t>同步轮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电机皮带轮同步带从动轮</t>
    </r>
    <r>
      <rPr>
        <sz val="11"/>
        <color theme="1"/>
        <rFont val="Calibri"/>
        <charset val="134"/>
      </rPr>
      <t xml:space="preserve"> 3d</t>
    </r>
    <r>
      <rPr>
        <sz val="11"/>
        <color theme="1"/>
        <rFont val="微软雅黑"/>
        <charset val="134"/>
      </rPr>
      <t>打印机配件</t>
    </r>
    <r>
      <rPr>
        <sz val="11"/>
        <color theme="1"/>
        <rFont val="Calibri"/>
        <charset val="134"/>
      </rPr>
      <t>16-40</t>
    </r>
    <r>
      <rPr>
        <sz val="11"/>
        <color theme="1"/>
        <rFont val="微软雅黑"/>
        <charset val="134"/>
      </rPr>
      <t>齿带宽</t>
    </r>
    <r>
      <rPr>
        <sz val="11"/>
        <color theme="1"/>
        <rFont val="Calibri"/>
        <charset val="134"/>
      </rPr>
      <t>6mm-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</si>
  <si>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传动皮带</t>
    </r>
  </si>
  <si>
    <r>
      <rPr>
        <sz val="11"/>
        <color theme="1"/>
        <rFont val="Calibri"/>
        <charset val="134"/>
      </rPr>
      <t>2gt-6-150</t>
    </r>
    <r>
      <rPr>
        <sz val="11"/>
        <color theme="1"/>
        <rFont val="微软雅黑"/>
        <charset val="134"/>
      </rPr>
      <t>，</t>
    </r>
    <r>
      <rPr>
        <sz val="11"/>
        <color theme="1"/>
        <rFont val="Calibri"/>
        <charset val="134"/>
      </rPr>
      <t xml:space="preserve"> 150mm</t>
    </r>
  </si>
  <si>
    <r>
      <rPr>
        <sz val="11"/>
        <color theme="1"/>
        <rFont val="Calibri"/>
        <charset val="134"/>
      </rPr>
      <t>3D</t>
    </r>
    <r>
      <rPr>
        <sz val="11"/>
        <color theme="1"/>
        <rFont val="微软雅黑"/>
        <charset val="134"/>
      </rPr>
      <t>打印机</t>
    </r>
    <r>
      <rPr>
        <sz val="11"/>
        <color theme="1"/>
        <rFont val="Calibri"/>
        <charset val="134"/>
      </rPr>
      <t>2GT</t>
    </r>
    <r>
      <rPr>
        <sz val="11"/>
        <color theme="1"/>
        <rFont val="微软雅黑"/>
        <charset val="134"/>
      </rPr>
      <t>环形闭口闭环同步带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橡胶传动皮带</t>
    </r>
    <r>
      <rPr>
        <sz val="11"/>
        <color theme="1"/>
        <rFont val="Calibri"/>
        <charset val="134"/>
      </rPr>
      <t xml:space="preserve">gt2 </t>
    </r>
    <r>
      <rPr>
        <sz val="11"/>
        <color theme="1"/>
        <rFont val="微软雅黑"/>
        <charset val="134"/>
      </rPr>
      <t>周长</t>
    </r>
    <r>
      <rPr>
        <sz val="11"/>
        <color theme="1"/>
        <rFont val="Calibri"/>
        <charset val="134"/>
      </rPr>
      <t>110-1524mm-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</si>
  <si>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连接</t>
    </r>
    <r>
      <rPr>
        <sz val="11"/>
        <color theme="1"/>
        <rFont val="Calibri"/>
        <charset val="134"/>
      </rPr>
      <t>J5</t>
    </r>
    <r>
      <rPr>
        <sz val="11"/>
        <color theme="1"/>
        <rFont val="微软雅黑"/>
        <charset val="134"/>
      </rPr>
      <t>的电机和减速器</t>
    </r>
  </si>
  <si>
    <r>
      <rPr>
        <sz val="11"/>
        <color theme="1"/>
        <rFont val="Calibri"/>
        <charset val="134"/>
      </rPr>
      <t>2gt-6-130</t>
    </r>
    <r>
      <rPr>
        <sz val="11"/>
        <color theme="1"/>
        <rFont val="微软雅黑"/>
        <charset val="134"/>
      </rPr>
      <t>，</t>
    </r>
    <r>
      <rPr>
        <sz val="11"/>
        <color theme="1"/>
        <rFont val="Calibri"/>
        <charset val="134"/>
      </rPr>
      <t xml:space="preserve"> 130mm</t>
    </r>
  </si>
  <si>
    <r>
      <rPr>
        <sz val="11"/>
        <color theme="1"/>
        <rFont val="微软雅黑"/>
        <charset val="134"/>
      </rPr>
      <t>连接</t>
    </r>
    <r>
      <rPr>
        <sz val="11"/>
        <color theme="1"/>
        <rFont val="Calibri"/>
        <charset val="134"/>
      </rPr>
      <t>J2,J3</t>
    </r>
    <r>
      <rPr>
        <sz val="11"/>
        <color theme="1"/>
        <rFont val="微软雅黑"/>
        <charset val="134"/>
      </rPr>
      <t>的电机和减速器</t>
    </r>
  </si>
  <si>
    <r>
      <rPr>
        <sz val="12"/>
        <rFont val="Calibri"/>
        <charset val="0"/>
      </rPr>
      <t>6pin</t>
    </r>
    <r>
      <rPr>
        <sz val="12"/>
        <rFont val="微软雅黑"/>
        <charset val="0"/>
      </rPr>
      <t>排线</t>
    </r>
  </si>
  <si>
    <t xml:space="preserve">ZH1.5mm, 6pin/3pin, </t>
  </si>
  <si>
    <r>
      <rPr>
        <sz val="11"/>
        <color theme="1"/>
        <rFont val="微软雅黑"/>
        <charset val="134"/>
      </rPr>
      <t>连接线</t>
    </r>
    <r>
      <rPr>
        <sz val="11"/>
        <color theme="1"/>
        <rFont val="Calibri"/>
        <charset val="134"/>
      </rPr>
      <t xml:space="preserve"> ZH1.5mm</t>
    </r>
    <r>
      <rPr>
        <sz val="11"/>
        <color theme="1"/>
        <rFont val="微软雅黑"/>
        <charset val="134"/>
      </rPr>
      <t>电子线</t>
    </r>
    <r>
      <rPr>
        <sz val="11"/>
        <color theme="1"/>
        <rFont val="Calibri"/>
        <charset val="134"/>
      </rPr>
      <t xml:space="preserve"> 2P/3/4/5/6Pin 5-30cm </t>
    </r>
    <r>
      <rPr>
        <sz val="11"/>
        <color theme="1"/>
        <rFont val="微软雅黑"/>
        <charset val="134"/>
      </rPr>
      <t>单头</t>
    </r>
    <r>
      <rPr>
        <sz val="11"/>
        <color theme="1"/>
        <rFont val="Calibri"/>
        <charset val="134"/>
      </rPr>
      <t>/</t>
    </r>
    <r>
      <rPr>
        <sz val="11"/>
        <color theme="1"/>
        <rFont val="微软雅黑"/>
        <charset val="134"/>
      </rPr>
      <t>双头同向</t>
    </r>
    <r>
      <rPr>
        <sz val="11"/>
        <color theme="1"/>
        <rFont val="Calibri"/>
        <charset val="134"/>
      </rPr>
      <t>/</t>
    </r>
    <r>
      <rPr>
        <sz val="11"/>
        <color theme="1"/>
        <rFont val="微软雅黑"/>
        <charset val="134"/>
      </rPr>
      <t>反向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</si>
  <si>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这个链接里都是同向线，我是自己把其中的</t>
    </r>
    <r>
      <rPr>
        <sz val="11"/>
        <color theme="1"/>
        <rFont val="Calibri"/>
        <charset val="134"/>
      </rPr>
      <t>5</t>
    </r>
    <r>
      <rPr>
        <sz val="11"/>
        <color theme="1"/>
        <rFont val="微软雅黑"/>
        <charset val="134"/>
      </rPr>
      <t>条改成了反向线了，建议大家直接买反向线，也需要考虑</t>
    </r>
    <r>
      <rPr>
        <sz val="11"/>
        <color theme="1"/>
        <rFont val="Calibri"/>
        <charset val="134"/>
      </rPr>
      <t>SWD</t>
    </r>
    <r>
      <rPr>
        <sz val="11"/>
        <color theme="1"/>
        <rFont val="微软雅黑"/>
        <charset val="134"/>
      </rPr>
      <t>下载线和</t>
    </r>
    <r>
      <rPr>
        <sz val="11"/>
        <color theme="1"/>
        <rFont val="Calibri"/>
        <charset val="134"/>
      </rPr>
      <t>LEDring</t>
    </r>
    <r>
      <rPr>
        <sz val="11"/>
        <color theme="1"/>
        <rFont val="微软雅黑"/>
        <charset val="134"/>
      </rPr>
      <t>板子的连线</t>
    </r>
    <r>
      <rPr>
        <sz val="11"/>
        <color theme="1"/>
        <rFont val="Calibri"/>
        <charset val="134"/>
      </rPr>
      <t xml:space="preserve">
6</t>
    </r>
    <r>
      <rPr>
        <sz val="11"/>
        <color theme="1"/>
        <rFont val="微软雅黑"/>
        <charset val="134"/>
      </rPr>
      <t>根电机连接线，</t>
    </r>
    <r>
      <rPr>
        <sz val="11"/>
        <color theme="1"/>
        <rFont val="Calibri"/>
        <charset val="134"/>
      </rPr>
      <t>1</t>
    </r>
    <r>
      <rPr>
        <sz val="11"/>
        <color theme="1"/>
        <rFont val="微软雅黑"/>
        <charset val="134"/>
      </rPr>
      <t>根</t>
    </r>
    <r>
      <rPr>
        <sz val="11"/>
        <color theme="1"/>
        <rFont val="Calibri"/>
        <charset val="134"/>
      </rPr>
      <t>SWD</t>
    </r>
    <r>
      <rPr>
        <sz val="11"/>
        <color theme="1"/>
        <rFont val="微软雅黑"/>
        <charset val="134"/>
      </rPr>
      <t>下载线，一根</t>
    </r>
    <r>
      <rPr>
        <sz val="11"/>
        <color theme="1"/>
        <rFont val="Calibri"/>
        <charset val="134"/>
      </rPr>
      <t>LEDring</t>
    </r>
    <r>
      <rPr>
        <sz val="11"/>
        <color theme="1"/>
        <rFont val="微软雅黑"/>
        <charset val="134"/>
      </rPr>
      <t>的连接线</t>
    </r>
  </si>
  <si>
    <t>PH2.0mm, 6pin</t>
  </si>
  <si>
    <r>
      <rPr>
        <sz val="11"/>
        <color theme="1"/>
        <rFont val="Calibri"/>
        <charset val="134"/>
      </rPr>
      <t xml:space="preserve">PH2.0-2/3/4/5/6/7/8/9/10P </t>
    </r>
    <r>
      <rPr>
        <sz val="11"/>
        <color theme="1"/>
        <rFont val="微软雅黑"/>
        <charset val="134"/>
      </rPr>
      <t>电子线端子线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单头镀锡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微软雅黑"/>
        <charset val="134"/>
      </rPr>
      <t>长</t>
    </r>
    <r>
      <rPr>
        <sz val="11"/>
        <color theme="1"/>
        <rFont val="Calibri"/>
        <charset val="134"/>
      </rPr>
      <t>30CM</t>
    </r>
    <r>
      <rPr>
        <sz val="11"/>
        <color theme="1"/>
        <rFont val="微软雅黑"/>
        <charset val="134"/>
      </rPr>
      <t>连接线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</si>
  <si>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2"/>
        <rFont val="微软雅黑"/>
        <charset val="0"/>
      </rPr>
      <t>电源开关</t>
    </r>
  </si>
  <si>
    <r>
      <rPr>
        <sz val="12"/>
        <rFont val="微软雅黑"/>
        <charset val="0"/>
      </rPr>
      <t>开孔直径：</t>
    </r>
    <r>
      <rPr>
        <sz val="12"/>
        <rFont val="Calibri"/>
        <charset val="0"/>
      </rPr>
      <t>16mm</t>
    </r>
    <r>
      <rPr>
        <sz val="12"/>
        <rFont val="微软雅黑"/>
        <charset val="0"/>
      </rPr>
      <t>，</t>
    </r>
    <r>
      <rPr>
        <sz val="12"/>
        <rFont val="Calibri"/>
        <charset val="0"/>
      </rPr>
      <t>12-24v</t>
    </r>
    <r>
      <rPr>
        <sz val="12"/>
        <rFont val="微软雅黑"/>
        <charset val="0"/>
      </rPr>
      <t>，高头环形灯，自锁</t>
    </r>
  </si>
  <si>
    <r>
      <rPr>
        <sz val="11"/>
        <color theme="1"/>
        <rFont val="微软雅黑"/>
        <charset val="134"/>
      </rPr>
      <t>金属按钮</t>
    </r>
    <r>
      <rPr>
        <sz val="11"/>
        <color theme="1"/>
        <rFont val="Calibri"/>
        <charset val="134"/>
      </rPr>
      <t>12/16/19/22mm</t>
    </r>
    <r>
      <rPr>
        <sz val="11"/>
        <color theme="1"/>
        <rFont val="微软雅黑"/>
        <charset val="134"/>
      </rPr>
      <t>带灯</t>
    </r>
    <r>
      <rPr>
        <sz val="11"/>
        <color theme="1"/>
        <rFont val="Calibri"/>
        <charset val="134"/>
      </rPr>
      <t>5V12V24V220V</t>
    </r>
    <r>
      <rPr>
        <sz val="11"/>
        <color theme="1"/>
        <rFont val="微软雅黑"/>
        <charset val="134"/>
      </rPr>
      <t>不锈钢点动自锁复位开关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</si>
  <si>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2"/>
        <rFont val="Calibri"/>
        <charset val="0"/>
      </rPr>
      <t>DC</t>
    </r>
    <r>
      <rPr>
        <sz val="12"/>
        <rFont val="微软雅黑"/>
        <charset val="0"/>
      </rPr>
      <t>电源插座</t>
    </r>
  </si>
  <si>
    <t>DC5.5*2.5mm</t>
  </si>
  <si>
    <t>https://item.taobao.com/item.htm?id=679108658727&amp;mi_id=0000c6KtcGBMGtOvA6x5ZCiVd9b5Y53NwUlV7a87CdC9LQ4&amp;spm=tbpc.boughtlist.suborder_itempic.d679108658727.28a92e8dg2wSpu</t>
  </si>
  <si>
    <r>
      <rPr>
        <sz val="12"/>
        <rFont val="微软雅黑"/>
        <charset val="0"/>
      </rPr>
      <t>电源</t>
    </r>
  </si>
  <si>
    <t xml:space="preserve">24v 6a </t>
  </si>
  <si>
    <r>
      <rPr>
        <sz val="11"/>
        <color theme="1"/>
        <rFont val="微软雅黑"/>
        <charset val="134"/>
      </rPr>
      <t>原装爱普生</t>
    </r>
    <r>
      <rPr>
        <sz val="11"/>
        <color theme="1"/>
        <rFont val="Calibri"/>
        <charset val="134"/>
      </rPr>
      <t xml:space="preserve"> 24V6A</t>
    </r>
    <r>
      <rPr>
        <sz val="11"/>
        <color theme="1"/>
        <rFont val="微软雅黑"/>
        <charset val="134"/>
      </rPr>
      <t>电源适配器</t>
    </r>
    <r>
      <rPr>
        <sz val="11"/>
        <color theme="1"/>
        <rFont val="Calibri"/>
        <charset val="134"/>
      </rPr>
      <t xml:space="preserve"> 24V6A 5A4A</t>
    </r>
    <r>
      <rPr>
        <sz val="11"/>
        <color theme="1"/>
        <rFont val="微软雅黑"/>
        <charset val="134"/>
      </rPr>
      <t>通用监控显示器</t>
    </r>
    <r>
      <rPr>
        <sz val="11"/>
        <color theme="1"/>
        <rFont val="Calibri"/>
        <charset val="134"/>
      </rPr>
      <t>24V8A</t>
    </r>
    <r>
      <rPr>
        <sz val="11"/>
        <color theme="1"/>
        <rFont val="微软雅黑"/>
        <charset val="134"/>
      </rPr>
      <t>电源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</si>
  <si>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内六角螺丝刀套装</t>
    </r>
  </si>
  <si>
    <t>0.71mm-3mm</t>
  </si>
  <si>
    <r>
      <rPr>
        <sz val="11"/>
        <color theme="1"/>
        <rFont val="微软雅黑"/>
        <charset val="134"/>
      </rPr>
      <t>绿林内六角扳手套装</t>
    </r>
    <r>
      <rPr>
        <sz val="11"/>
        <color theme="1"/>
        <rFont val="Calibri"/>
        <charset val="134"/>
      </rPr>
      <t>6</t>
    </r>
    <r>
      <rPr>
        <sz val="11"/>
        <color theme="1"/>
        <rFont val="微软雅黑"/>
        <charset val="134"/>
      </rPr>
      <t>角螺丝刀六角匙工具六棱内六方工业级</t>
    </r>
    <r>
      <rPr>
        <sz val="11"/>
        <color theme="1"/>
        <rFont val="Calibri"/>
        <charset val="134"/>
      </rPr>
      <t>L</t>
    </r>
    <r>
      <rPr>
        <sz val="11"/>
        <color theme="1"/>
        <rFont val="微软雅黑"/>
        <charset val="134"/>
      </rPr>
      <t>型迷你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</si>
  <si>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径向磁铁</t>
    </r>
  </si>
  <si>
    <r>
      <rPr>
        <sz val="11"/>
        <color theme="1"/>
        <rFont val="Calibri"/>
        <charset val="134"/>
      </rPr>
      <t>N52</t>
    </r>
    <r>
      <rPr>
        <sz val="11"/>
        <color theme="1"/>
        <rFont val="微软雅黑"/>
        <charset val="134"/>
      </rPr>
      <t>径向充磁，</t>
    </r>
    <r>
      <rPr>
        <sz val="11"/>
        <color theme="1"/>
        <rFont val="Calibri"/>
        <charset val="134"/>
      </rPr>
      <t>6x3mm</t>
    </r>
  </si>
  <si>
    <r>
      <rPr>
        <sz val="11"/>
        <color theme="1"/>
        <rFont val="Calibri"/>
        <charset val="134"/>
      </rPr>
      <t>N52</t>
    </r>
    <r>
      <rPr>
        <sz val="11"/>
        <color theme="1"/>
        <rFont val="微软雅黑"/>
        <charset val="134"/>
      </rPr>
      <t>圆形径向充磁钕铁硼强力磁铁圆柱侧面充磁强磁吸铁石特殊充磁</t>
    </r>
    <r>
      <rPr>
        <sz val="11"/>
        <color theme="1"/>
        <rFont val="Calibri"/>
        <charset val="134"/>
      </rPr>
      <t>-</t>
    </r>
    <r>
      <rPr>
        <sz val="11"/>
        <color theme="1"/>
        <rFont val="微软雅黑"/>
        <charset val="134"/>
      </rPr>
      <t>淘宝网</t>
    </r>
  </si>
  <si>
    <r>
      <rPr>
        <sz val="11"/>
        <color theme="1"/>
        <rFont val="微软雅黑"/>
        <charset val="134"/>
      </rPr>
      <t>轴承</t>
    </r>
  </si>
  <si>
    <t>5x13x4</t>
  </si>
  <si>
    <t>https://detail.tmall.com/item.htm?id=611796709407&amp;mi_id=0000g0U2o78ed3B7OepPozzXV3WuxSViZ6-2Un0W_TNR73M&amp;spm=tbpc.boughtlist.suborder_itempic.d611796709407.48192e8dDOMTZL</t>
  </si>
  <si>
    <r>
      <rPr>
        <sz val="11"/>
        <color theme="1"/>
        <rFont val="微软雅黑"/>
        <charset val="134"/>
      </rPr>
      <t>圆柱销</t>
    </r>
  </si>
  <si>
    <r>
      <rPr>
        <sz val="11"/>
        <color theme="1"/>
        <rFont val="微软雅黑"/>
        <charset val="134"/>
      </rPr>
      <t>直径</t>
    </r>
    <r>
      <rPr>
        <sz val="11"/>
        <color theme="1"/>
        <rFont val="Calibri"/>
        <charset val="134"/>
      </rPr>
      <t>5</t>
    </r>
    <r>
      <rPr>
        <sz val="11"/>
        <color theme="1"/>
        <rFont val="微软雅黑"/>
        <charset val="134"/>
      </rPr>
      <t>，长</t>
    </r>
    <r>
      <rPr>
        <sz val="11"/>
        <color theme="1"/>
        <rFont val="Calibri"/>
        <charset val="134"/>
      </rPr>
      <t>35mm</t>
    </r>
  </si>
  <si>
    <t>https://detail.tmall.com/item.htm?id=617042322309&amp;mi_id=00006G-ltJXcabadkyGBpToJV2Iid5NARWkRBdW49oIrYAk&amp;spm=tbpc.boughtlist.suborder_itempic.d617042322309.48192e8dDOMTZL</t>
  </si>
  <si>
    <r>
      <rPr>
        <b/>
        <sz val="11"/>
        <color theme="1"/>
        <rFont val="微软雅黑"/>
        <charset val="134"/>
      </rPr>
      <t>购买链接</t>
    </r>
  </si>
  <si>
    <t>M3x8</t>
  </si>
  <si>
    <r>
      <rPr>
        <sz val="11"/>
        <color theme="1"/>
        <rFont val="Calibri"/>
        <charset val="134"/>
      </rPr>
      <t>304</t>
    </r>
    <r>
      <rPr>
        <sz val="11"/>
        <color theme="1"/>
        <rFont val="微软雅黑"/>
        <charset val="134"/>
      </rPr>
      <t>不锈钢内六角螺丝钉圆柱头杯头螺栓加长</t>
    </r>
    <r>
      <rPr>
        <sz val="11"/>
        <color theme="1"/>
        <rFont val="Calibri"/>
        <charset val="134"/>
      </rPr>
      <t>M2M3M4M5M6M8M10M12M16-tmall.com</t>
    </r>
    <r>
      <rPr>
        <sz val="11"/>
        <color theme="1"/>
        <rFont val="微软雅黑"/>
        <charset val="134"/>
      </rPr>
      <t>天猫</t>
    </r>
  </si>
  <si>
    <t>M3x12</t>
  </si>
  <si>
    <r>
      <rPr>
        <sz val="11"/>
        <color theme="1"/>
        <rFont val="Calibri"/>
        <charset val="134"/>
      </rPr>
      <t>304</t>
    </r>
    <r>
      <rPr>
        <sz val="11"/>
        <color theme="1"/>
        <rFont val="微软雅黑"/>
        <charset val="134"/>
      </rPr>
      <t>不锈钢圆柱头内六角螺丝杯头螺栓</t>
    </r>
    <r>
      <rPr>
        <sz val="11"/>
        <color theme="1"/>
        <rFont val="Calibri"/>
        <charset val="134"/>
      </rPr>
      <t>M3*x3x7x9x11x13x15x17x23-32-</t>
    </r>
    <r>
      <rPr>
        <sz val="11"/>
        <color theme="1"/>
        <rFont val="微软雅黑"/>
        <charset val="134"/>
      </rPr>
      <t>淘宝网</t>
    </r>
  </si>
  <si>
    <t>M3x15</t>
  </si>
  <si>
    <t>M3x20</t>
  </si>
  <si>
    <t>M3x25</t>
  </si>
  <si>
    <t>M3x28</t>
  </si>
  <si>
    <t>M3x30</t>
  </si>
  <si>
    <t>M3x35</t>
  </si>
  <si>
    <t>M3x45</t>
  </si>
  <si>
    <t>M4x12</t>
  </si>
  <si>
    <t>M4x22</t>
  </si>
  <si>
    <t>M4x30</t>
  </si>
  <si>
    <t>M4x35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</si>
</sst>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微软雅黑"/>
      <charset val="134"/>
    </font>
    <font>
      <sz val="12"/>
      <name val="Calibri"/>
      <charset val="0"/>
    </font>
    <font>
      <u/>
      <sz val="11"/>
      <color rgb="FF800080"/>
      <name val="Calibri"/>
      <charset val="0"/>
    </font>
    <font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Calibri"/>
      <charset val="0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  <font>
      <b/>
      <sz val="11"/>
      <color rgb="FFFF0000"/>
      <name val="等线"/>
      <charset val="134"/>
    </font>
    <font>
      <sz val="12"/>
      <name val="微软雅黑"/>
      <charset val="0"/>
    </font>
    <font>
      <sz val="11"/>
      <name val="微软雅黑"/>
      <charset val="0"/>
    </font>
    <font>
      <sz val="11"/>
      <name val="宋体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5" borderId="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6">
      <alignment vertical="center"/>
    </xf>
    <xf numFmtId="0" fontId="21" fillId="0" borderId="6">
      <alignment vertical="center"/>
    </xf>
    <xf numFmtId="0" fontId="22" fillId="0" borderId="7">
      <alignment vertical="center"/>
    </xf>
    <xf numFmtId="0" fontId="22" fillId="0" borderId="0">
      <alignment vertical="center"/>
    </xf>
    <xf numFmtId="0" fontId="23" fillId="6" borderId="8">
      <alignment vertical="center"/>
    </xf>
    <xf numFmtId="0" fontId="24" fillId="7" borderId="9">
      <alignment vertical="center"/>
    </xf>
    <xf numFmtId="0" fontId="25" fillId="7" borderId="8">
      <alignment vertical="center"/>
    </xf>
    <xf numFmtId="0" fontId="26" fillId="8" borderId="10">
      <alignment vertical="center"/>
    </xf>
    <xf numFmtId="0" fontId="27" fillId="0" borderId="11">
      <alignment vertical="center"/>
    </xf>
    <xf numFmtId="0" fontId="28" fillId="0" borderId="12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3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2" fillId="34" borderId="0">
      <alignment vertical="center"/>
    </xf>
  </cellStyleXfs>
  <cellXfs count="5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/>
    <xf numFmtId="0" fontId="2" fillId="0" borderId="0" xfId="0" applyFont="1" applyAlignment="1">
      <alignment vertical="center"/>
    </xf>
    <xf numFmtId="0" fontId="5" fillId="0" borderId="0" xfId="6" applyFo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0" xfId="0" applyFont="1">
      <alignment vertical="center"/>
    </xf>
    <xf numFmtId="0" fontId="1" fillId="4" borderId="1" xfId="0" applyFont="1" applyFill="1" applyBorder="1" applyAlignment="1">
      <alignment vertical="center"/>
    </xf>
    <xf numFmtId="0" fontId="10" fillId="0" borderId="0" xfId="0" applyFont="1">
      <alignment vertical="center"/>
    </xf>
    <xf numFmtId="0" fontId="1" fillId="0" borderId="0" xfId="0" applyFont="1" applyFill="1" applyAlignment="1">
      <alignment vertical="center" wrapText="1"/>
    </xf>
    <xf numFmtId="0" fontId="12" fillId="0" borderId="0" xfId="0" applyFo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40352572949&amp;mi_id=0000FysT0kUQjsmHyN0hdIQBSUBdTQ5s-gd8SRW7_LJPiFw&amp;spm=tbpc.boughtlist.suborder_itempic.d40352572949.34622e8docpNPw" TargetMode="External"/><Relationship Id="rId1" Type="http://schemas.openxmlformats.org/officeDocument/2006/relationships/hyperlink" Target="https://item.taobao.com/item.htm?id=789310228166&amp;mi_id=0000O7y0b_LBTOGWorb2SxQV9a53sQ6S3uWDSvzrqWR4N6Y&amp;spm=tbpc.boughtlist.suborder_itempic.d789310228166.34622e8docpNPw" TargetMode="Externa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958611899677&amp;mi_id=0000OWPRr5x8sTb07B1CIWNUGIUIWditk455eWw4LwQ7tlM&amp;spm=tbpc.boughtlist.suborder_itempic.d958611899677.28a92e8dg2wSpu" TargetMode="External"/><Relationship Id="rId8" Type="http://schemas.openxmlformats.org/officeDocument/2006/relationships/hyperlink" Target="https://item.taobao.com/item.htm?id=944567579547&amp;mi_id=0000eeTehWItf27s70RvRCRruGYYCViaa_LfJejl5rtX-i4&amp;spm=tbpc.boughtlist.suborder_itempic.d944567579547.28a92e8dg2wSpu" TargetMode="External"/><Relationship Id="rId7" Type="http://schemas.openxmlformats.org/officeDocument/2006/relationships/hyperlink" Target="https://item.taobao.com/item.htm?id=625483500699&amp;mi_id=0000i1AvM3_DEkppvhFM-jb1hgX8vYkwNfh8hENjHpLHR04&amp;spm=tbpc.boughtlist.suborder_itempic.d625483500699.28a92e8dg2wSpu" TargetMode="External"/><Relationship Id="rId6" Type="http://schemas.openxmlformats.org/officeDocument/2006/relationships/hyperlink" Target="https://item.taobao.com/item.htm?id=626759355655&amp;mi_id=0000vUa8fJc6npmo9dwRGFmKiPtOnTICaO7QEm9pBDyEU-g&amp;spm=tbpc.boughtlist.suborder_itempic.d626759355655.28a92e8dg2wSpu&amp;sku_properties=148226461:3629053" TargetMode="External"/><Relationship Id="rId5" Type="http://schemas.openxmlformats.org/officeDocument/2006/relationships/hyperlink" Target="https://item.taobao.com/item.htm?id=902846205607&amp;mi_id=00006xRajiwW0RE3tr5dTLZJMXzkLeJzecdbgl-_MsJu_9U&amp;spm=tbpc.boughtlist.suborder_itempic.d902846205607.7d272e8d0x9Xzu" TargetMode="External"/><Relationship Id="rId4" Type="http://schemas.openxmlformats.org/officeDocument/2006/relationships/hyperlink" Target="https://item.taobao.com/item.htm?id=549501040122&amp;mi_id=0000BKZm8Kkl4DfCgLk--S0zKDyvYQ2x4-MOus_QTMDz5H4&amp;spm=tbpc.boughtlist.suborder_itempic.d549501040122.7d272e8d0x9Xzu" TargetMode="External"/><Relationship Id="rId3" Type="http://schemas.openxmlformats.org/officeDocument/2006/relationships/hyperlink" Target="https://item.taobao.com/item.htm?id=15168111895&amp;mi_id=0000XWuzuvANJX-JZIpu0B-grtuCxMlZXLDK2qILffjXUto&amp;spm=tbpc.boughtlist.suborder_itempic.d15168111895.7d272e8d0x9Xzu" TargetMode="External"/><Relationship Id="rId2" Type="http://schemas.openxmlformats.org/officeDocument/2006/relationships/hyperlink" Target="https://item.taobao.com/item.htm?id=919770674722&amp;mi_id=0000WpwCrskAJAiISEGBO9s7k3C3-w2WslccOUS7Dh-FtJI&amp;spm=tbpc.boughtlist.suborder_itempic.d919770674722.7d272e8d0x9Xzu" TargetMode="External"/><Relationship Id="rId16" Type="http://schemas.openxmlformats.org/officeDocument/2006/relationships/hyperlink" Target="https://detail.tmall.com/item.htm?id=617042322309&amp;mi_id=00006G-ltJXcabadkyGBpToJV2Iid5NARWkRBdW49oIrYAk&amp;spm=tbpc.boughtlist.suborder_itempic.d617042322309.48192e8dDOMTZL" TargetMode="External"/><Relationship Id="rId15" Type="http://schemas.openxmlformats.org/officeDocument/2006/relationships/hyperlink" Target="https://detail.tmall.com/item.htm?id=611796709407&amp;mi_id=0000g0U2o78ed3B7OepPozzXV3WuxSViZ6-2Un0W_TNR73M&amp;spm=tbpc.boughtlist.suborder_itempic.d611796709407.48192e8dDOMTZL" TargetMode="External"/><Relationship Id="rId14" Type="http://schemas.openxmlformats.org/officeDocument/2006/relationships/hyperlink" Target="https://item.taobao.com/item.htm?id=558147874154&amp;mi_id=0000aoudVMLusaqxbSV-wMANutQXowoj7MhyONY-zKiljE8&amp;spm=tbpc.boughtlist.suborder_itempic.d558147874154.48192e8dDOMTZL" TargetMode="External"/><Relationship Id="rId13" Type="http://schemas.openxmlformats.org/officeDocument/2006/relationships/hyperlink" Target="https://item.taobao.com/item.htm?id=659783460801&amp;mi_id=0000dIYxrhvYAMHDtEpdMzYSUk7vBAFwtdrFUuEEyTZzBdo&amp;spm=tbpc.boughtlist.suborder_itempic.d659783460801.28a92e8dg2wSpu" TargetMode="External"/><Relationship Id="rId12" Type="http://schemas.openxmlformats.org/officeDocument/2006/relationships/hyperlink" Target="https://item.taobao.com/item.htm?id=679108658727&amp;mi_id=0000c6KtcGBMGtOvA6x5ZCiVd9b5Y53NwUlV7a87CdC9LQ4&amp;spm=tbpc.boughtlist.suborder_itempic.d679108658727.28a92e8dg2wSpu" TargetMode="External"/><Relationship Id="rId11" Type="http://schemas.openxmlformats.org/officeDocument/2006/relationships/hyperlink" Target="https://item.taobao.com/item.htm?id=589544046782&amp;mi_id=0000DK-BlIIILHUMMvZTRoX0g2zYKroQz-OHLkxJcC0EfEk&amp;spm=tbpc.boughtlist.suborder_itempic.d589544046782.28a92e8dg2wSpu" TargetMode="External"/><Relationship Id="rId10" Type="http://schemas.openxmlformats.org/officeDocument/2006/relationships/hyperlink" Target="https://item.taobao.com/item.htm?id=552809889509&amp;mi_id=0000GwfPDqdtnESNjxobH_heSs1dfuiLFCiX5-DAiqwHPL0&amp;spm=tbpc.boughtlist.suborder_itempic.d552809889509.28a92e8dg2wSpu" TargetMode="External"/><Relationship Id="rId1" Type="http://schemas.openxmlformats.org/officeDocument/2006/relationships/hyperlink" Target="https://item.taobao.com/item.htm?id=723690490192&amp;mi_id=0000T40bxGcJp0pi5UlZdPjijdYeT7A0kuq_JM_SHz2EhYI&amp;spm=tbpc.boughtlist.suborder_itemtitle.1.7d272e8d0x9Xzu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655646005874&amp;mi_id=0000YHaNkxeAjuijTImrU4fYnAOvVLNr1GTpWOa6oWvHVvY&amp;spm=tbpc.boughtlist.suborder_itempic.d655646005874.7e7c2e8dlb1Noj" TargetMode="External"/><Relationship Id="rId1" Type="http://schemas.openxmlformats.org/officeDocument/2006/relationships/hyperlink" Target="https://detail.tmall.com/item.htm?id=587639753812&amp;mi_id=0000wVnRLY2Fmamn0sma09qPd5nVX6epHOCyVvxV9aZ7u9E&amp;spm=tbpc.boughtlist.suborder_itempic.d587639753812.7e7c2e8dlb1N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C10" sqref="C10"/>
    </sheetView>
  </sheetViews>
  <sheetFormatPr defaultColWidth="9" defaultRowHeight="15" outlineLevelRow="3" outlineLevelCol="2"/>
  <cols>
    <col min="1" max="1" width="9" style="1"/>
    <col min="2" max="2" width="44.625" style="1" customWidth="1"/>
    <col min="3" max="3" width="16.25" style="53" customWidth="1"/>
    <col min="4" max="16384" width="9" style="1"/>
  </cols>
  <sheetData>
    <row r="2" spans="1:3">
      <c r="A2" s="6" t="s">
        <v>0</v>
      </c>
      <c r="B2" s="6" t="s">
        <v>1</v>
      </c>
      <c r="C2" s="54" t="s">
        <v>2</v>
      </c>
    </row>
    <row r="3" spans="1:3">
      <c r="A3" s="1" t="s">
        <v>3</v>
      </c>
      <c r="B3" s="1" t="s">
        <v>4</v>
      </c>
      <c r="C3" s="55">
        <v>46207</v>
      </c>
    </row>
    <row r="4" spans="1:3">
      <c r="A4" s="1" t="s">
        <v>5</v>
      </c>
      <c r="B4" s="56" t="s">
        <v>6</v>
      </c>
      <c r="C4" s="55">
        <v>46222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topLeftCell="A28" workbookViewId="0">
      <selection activeCell="A34" sqref="A34:G44"/>
    </sheetView>
  </sheetViews>
  <sheetFormatPr defaultColWidth="9" defaultRowHeight="15"/>
  <cols>
    <col min="1" max="2" width="9" style="1"/>
    <col min="3" max="3" width="14" style="1" customWidth="1"/>
    <col min="4" max="4" width="23.625" style="1" customWidth="1"/>
    <col min="5" max="5" width="19" style="1" customWidth="1"/>
    <col min="6" max="6" width="28.25" style="1" customWidth="1"/>
    <col min="7" max="7" width="18.375" style="1" customWidth="1"/>
    <col min="8" max="8" width="9" style="1"/>
    <col min="9" max="9" width="11.25" style="1" customWidth="1"/>
    <col min="10" max="10" width="9" style="1"/>
    <col min="11" max="11" width="12.25" style="1" customWidth="1"/>
    <col min="12" max="12" width="12.375" style="1" customWidth="1"/>
    <col min="13" max="13" width="10.5" style="1" customWidth="1"/>
    <col min="14" max="14" width="12.125" style="1" customWidth="1"/>
    <col min="15" max="15" width="14" style="1" customWidth="1"/>
    <col min="16" max="16384" width="9" style="1"/>
  </cols>
  <sheetData>
    <row r="1" spans="1:8">
      <c r="A1" s="6"/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</row>
    <row r="2" spans="1:8">
      <c r="A2" s="1">
        <v>1</v>
      </c>
      <c r="D2" s="1" t="s">
        <v>13</v>
      </c>
      <c r="E2" s="1" t="s">
        <v>14</v>
      </c>
      <c r="F2" s="1" t="s">
        <v>15</v>
      </c>
      <c r="G2" s="1">
        <v>1</v>
      </c>
      <c r="H2" s="1" t="s">
        <v>16</v>
      </c>
    </row>
    <row r="3" spans="1:8">
      <c r="A3" s="1">
        <v>2</v>
      </c>
      <c r="D3" s="1" t="s">
        <v>17</v>
      </c>
      <c r="E3" s="1" t="s">
        <v>18</v>
      </c>
      <c r="F3" s="1" t="s">
        <v>19</v>
      </c>
      <c r="G3" s="1">
        <v>1</v>
      </c>
    </row>
    <row r="4" spans="1:8">
      <c r="A4" s="1">
        <v>3</v>
      </c>
      <c r="D4" s="1" t="s">
        <v>20</v>
      </c>
      <c r="E4" s="1" t="s">
        <v>21</v>
      </c>
      <c r="F4" s="1" t="s">
        <v>22</v>
      </c>
      <c r="G4" s="1">
        <v>1</v>
      </c>
    </row>
    <row r="5" spans="1:8">
      <c r="A5" s="1">
        <v>4</v>
      </c>
      <c r="D5" s="1" t="s">
        <v>23</v>
      </c>
      <c r="E5" s="1" t="s">
        <v>24</v>
      </c>
      <c r="F5" s="1" t="s">
        <v>25</v>
      </c>
      <c r="G5" s="1">
        <v>1</v>
      </c>
    </row>
    <row r="6" spans="1:8">
      <c r="A6" s="1">
        <v>5</v>
      </c>
      <c r="D6" s="1" t="s">
        <v>26</v>
      </c>
      <c r="E6" s="1" t="s">
        <v>27</v>
      </c>
      <c r="F6" s="1" t="s">
        <v>28</v>
      </c>
      <c r="G6" s="1">
        <v>1</v>
      </c>
    </row>
    <row r="7" spans="1:8">
      <c r="A7" s="1">
        <v>6</v>
      </c>
      <c r="D7" s="1" t="s">
        <v>29</v>
      </c>
      <c r="E7" s="1" t="s">
        <v>30</v>
      </c>
      <c r="F7" s="1" t="s">
        <v>31</v>
      </c>
      <c r="G7" s="1">
        <v>2</v>
      </c>
    </row>
    <row r="8" spans="1:8">
      <c r="A8" s="1">
        <v>7</v>
      </c>
      <c r="D8" s="1" t="s">
        <v>32</v>
      </c>
      <c r="E8" s="1" t="s">
        <v>33</v>
      </c>
      <c r="F8" s="1" t="s">
        <v>34</v>
      </c>
      <c r="G8" s="1">
        <v>1</v>
      </c>
    </row>
    <row r="9" spans="1:8">
      <c r="A9" s="1">
        <v>8</v>
      </c>
      <c r="D9" s="1" t="s">
        <v>35</v>
      </c>
      <c r="E9" s="1" t="s">
        <v>36</v>
      </c>
      <c r="F9" s="1" t="s">
        <v>37</v>
      </c>
      <c r="G9" s="1">
        <v>1</v>
      </c>
    </row>
    <row r="10" spans="1:8">
      <c r="A10" s="1">
        <v>9</v>
      </c>
      <c r="D10" s="1" t="s">
        <v>38</v>
      </c>
      <c r="E10" s="1" t="s">
        <v>39</v>
      </c>
      <c r="F10" s="1" t="s">
        <v>40</v>
      </c>
      <c r="G10" s="1">
        <v>1</v>
      </c>
    </row>
    <row r="11" spans="1:8">
      <c r="A11" s="1">
        <v>10</v>
      </c>
      <c r="D11" s="1" t="s">
        <v>41</v>
      </c>
      <c r="E11" s="1" t="s">
        <v>42</v>
      </c>
      <c r="F11" s="1" t="s">
        <v>40</v>
      </c>
      <c r="G11" s="1">
        <v>1</v>
      </c>
    </row>
    <row r="12" spans="1:8">
      <c r="A12" s="1">
        <v>11</v>
      </c>
      <c r="D12" s="1" t="s">
        <v>43</v>
      </c>
      <c r="E12" s="1" t="s">
        <v>44</v>
      </c>
      <c r="F12" s="1" t="s">
        <v>40</v>
      </c>
      <c r="G12" s="1">
        <v>2</v>
      </c>
    </row>
    <row r="13" spans="1:8">
      <c r="A13" s="1">
        <v>12</v>
      </c>
      <c r="D13" s="1" t="s">
        <v>45</v>
      </c>
      <c r="E13" s="1" t="s">
        <v>46</v>
      </c>
      <c r="F13" s="1" t="s">
        <v>40</v>
      </c>
      <c r="G13" s="1">
        <v>6</v>
      </c>
    </row>
    <row r="14" spans="1:8">
      <c r="A14" s="1">
        <v>13</v>
      </c>
      <c r="D14" s="1" t="s">
        <v>47</v>
      </c>
      <c r="E14" s="1" t="s">
        <v>48</v>
      </c>
      <c r="F14" s="1" t="s">
        <v>40</v>
      </c>
      <c r="G14" s="1">
        <v>1</v>
      </c>
    </row>
    <row r="15" spans="1:8">
      <c r="A15" s="1">
        <v>14</v>
      </c>
      <c r="D15" s="1" t="s">
        <v>49</v>
      </c>
      <c r="E15" s="1" t="s">
        <v>50</v>
      </c>
      <c r="F15" s="1" t="s">
        <v>40</v>
      </c>
      <c r="G15" s="1">
        <v>3</v>
      </c>
    </row>
    <row r="16" spans="1:8">
      <c r="A16" s="1">
        <v>15</v>
      </c>
      <c r="D16" s="1" t="s">
        <v>51</v>
      </c>
      <c r="E16" s="1" t="s">
        <v>52</v>
      </c>
      <c r="F16" s="1" t="s">
        <v>40</v>
      </c>
      <c r="G16" s="1">
        <v>1</v>
      </c>
    </row>
    <row r="17" spans="1:7">
      <c r="A17" s="1">
        <v>16</v>
      </c>
      <c r="D17" s="1" t="s">
        <v>53</v>
      </c>
      <c r="E17" s="1">
        <v>0</v>
      </c>
      <c r="F17" s="1" t="s">
        <v>40</v>
      </c>
      <c r="G17" s="1">
        <v>2</v>
      </c>
    </row>
    <row r="18" spans="1:7">
      <c r="A18" s="1">
        <v>17</v>
      </c>
      <c r="D18" s="1" t="s">
        <v>54</v>
      </c>
      <c r="E18" s="1" t="s">
        <v>55</v>
      </c>
      <c r="F18" s="1" t="s">
        <v>56</v>
      </c>
      <c r="G18" s="1">
        <v>1</v>
      </c>
    </row>
    <row r="19" spans="1:7">
      <c r="A19" s="1">
        <v>18</v>
      </c>
      <c r="D19" s="1" t="s">
        <v>57</v>
      </c>
      <c r="E19" s="1" t="s">
        <v>58</v>
      </c>
      <c r="F19" s="1" t="s">
        <v>56</v>
      </c>
      <c r="G19" s="1">
        <v>2</v>
      </c>
    </row>
    <row r="20" spans="1:7">
      <c r="A20" s="1">
        <v>19</v>
      </c>
      <c r="D20" s="1" t="s">
        <v>59</v>
      </c>
      <c r="E20" s="1" t="s">
        <v>60</v>
      </c>
      <c r="F20" s="1" t="s">
        <v>61</v>
      </c>
      <c r="G20" s="1">
        <v>2</v>
      </c>
    </row>
    <row r="21" spans="1:7">
      <c r="A21" s="1">
        <v>20</v>
      </c>
      <c r="D21" s="1" t="s">
        <v>62</v>
      </c>
      <c r="E21" s="1" t="s">
        <v>63</v>
      </c>
      <c r="F21" s="1" t="s">
        <v>64</v>
      </c>
      <c r="G21" s="1">
        <v>1</v>
      </c>
    </row>
    <row r="22" spans="1:7">
      <c r="A22" s="1">
        <v>21</v>
      </c>
      <c r="D22" s="1" t="s">
        <v>65</v>
      </c>
      <c r="E22" s="1" t="s">
        <v>66</v>
      </c>
      <c r="F22" s="1" t="s">
        <v>67</v>
      </c>
      <c r="G22" s="1">
        <v>2</v>
      </c>
    </row>
    <row r="23" spans="1:7">
      <c r="A23" s="1">
        <v>22</v>
      </c>
      <c r="D23" s="1" t="s">
        <v>68</v>
      </c>
      <c r="E23" s="1" t="s">
        <v>69</v>
      </c>
      <c r="F23" s="1" t="s">
        <v>70</v>
      </c>
      <c r="G23" s="1">
        <v>2</v>
      </c>
    </row>
    <row r="24" spans="1:7">
      <c r="A24" s="1">
        <v>23</v>
      </c>
      <c r="D24" s="1" t="s">
        <v>71</v>
      </c>
      <c r="E24" s="1" t="s">
        <v>72</v>
      </c>
      <c r="F24" s="1" t="s">
        <v>73</v>
      </c>
      <c r="G24" s="1">
        <v>1</v>
      </c>
    </row>
    <row r="25" spans="1:7">
      <c r="A25" s="1">
        <v>24</v>
      </c>
      <c r="D25" s="1" t="s">
        <v>74</v>
      </c>
      <c r="E25" s="1" t="s">
        <v>75</v>
      </c>
      <c r="F25" s="1" t="s">
        <v>76</v>
      </c>
      <c r="G25" s="1">
        <v>1</v>
      </c>
    </row>
    <row r="26" spans="1:7">
      <c r="A26" s="1">
        <v>25</v>
      </c>
      <c r="D26" s="1" t="s">
        <v>77</v>
      </c>
      <c r="E26" s="1" t="s">
        <v>78</v>
      </c>
      <c r="F26" s="1" t="s">
        <v>79</v>
      </c>
      <c r="G26" s="1">
        <v>2</v>
      </c>
    </row>
    <row r="27" spans="1:7">
      <c r="A27" s="1">
        <v>26</v>
      </c>
      <c r="D27" s="1" t="s">
        <v>80</v>
      </c>
      <c r="E27" s="1" t="s">
        <v>81</v>
      </c>
      <c r="F27" s="1" t="s">
        <v>79</v>
      </c>
      <c r="G27" s="1">
        <v>5</v>
      </c>
    </row>
    <row r="28" spans="1:7">
      <c r="A28" s="1">
        <v>27</v>
      </c>
      <c r="D28" s="1" t="s">
        <v>82</v>
      </c>
      <c r="E28" s="1" t="s">
        <v>83</v>
      </c>
      <c r="F28" s="1" t="s">
        <v>79</v>
      </c>
      <c r="G28" s="1">
        <v>1</v>
      </c>
    </row>
    <row r="29" spans="1:7">
      <c r="A29" s="1">
        <v>28</v>
      </c>
      <c r="D29" s="1" t="s">
        <v>84</v>
      </c>
      <c r="E29" s="1" t="s">
        <v>85</v>
      </c>
      <c r="F29" s="1" t="s">
        <v>79</v>
      </c>
      <c r="G29" s="1">
        <v>17</v>
      </c>
    </row>
    <row r="30" spans="1:7">
      <c r="A30" s="1">
        <v>29</v>
      </c>
      <c r="D30" s="1" t="s">
        <v>86</v>
      </c>
      <c r="E30" s="1" t="s">
        <v>87</v>
      </c>
      <c r="F30" s="1" t="s">
        <v>88</v>
      </c>
      <c r="G30" s="1">
        <v>1</v>
      </c>
    </row>
    <row r="31" spans="1:7">
      <c r="A31" s="1">
        <v>30</v>
      </c>
      <c r="D31" s="1" t="s">
        <v>89</v>
      </c>
      <c r="E31" s="1" t="s">
        <v>90</v>
      </c>
      <c r="F31" s="1" t="s">
        <v>91</v>
      </c>
      <c r="G31" s="1">
        <v>5</v>
      </c>
    </row>
    <row r="32" spans="1:7">
      <c r="A32" s="1">
        <v>31</v>
      </c>
      <c r="D32" s="1" t="s">
        <v>92</v>
      </c>
      <c r="E32" s="1" t="s">
        <v>93</v>
      </c>
      <c r="F32" s="1" t="s">
        <v>94</v>
      </c>
      <c r="G32" s="1">
        <v>3</v>
      </c>
    </row>
    <row r="34" spans="1:15">
      <c r="A34" s="42" t="s">
        <v>95</v>
      </c>
    </row>
    <row r="35" ht="144" customHeight="1" spans="1:15">
      <c r="A35" s="50" t="s">
        <v>96</v>
      </c>
      <c r="B35" s="51"/>
      <c r="C35" s="51"/>
      <c r="D35" s="51"/>
      <c r="E35" s="51"/>
      <c r="F35" s="51"/>
      <c r="G35" s="51"/>
    </row>
    <row r="37" spans="1:15">
      <c r="A37" s="18"/>
      <c r="B37" s="45" t="s">
        <v>97</v>
      </c>
      <c r="C37" s="46"/>
      <c r="D37" s="47"/>
      <c r="E37" s="45" t="s">
        <v>98</v>
      </c>
      <c r="F37" s="46"/>
      <c r="G37" s="47"/>
    </row>
    <row r="38" spans="1:15">
      <c r="A38" s="18" t="s">
        <v>99</v>
      </c>
      <c r="B38" s="18" t="s">
        <v>100</v>
      </c>
      <c r="C38" s="18" t="s">
        <v>101</v>
      </c>
      <c r="D38" s="18" t="s">
        <v>102</v>
      </c>
      <c r="E38" s="18" t="s">
        <v>100</v>
      </c>
      <c r="F38" s="18" t="s">
        <v>101</v>
      </c>
      <c r="G38" s="18" t="s">
        <v>102</v>
      </c>
    </row>
    <row r="39" spans="1:15">
      <c r="A39" s="20">
        <v>1</v>
      </c>
      <c r="B39" s="20" t="s">
        <v>103</v>
      </c>
      <c r="C39" s="20" t="s">
        <v>103</v>
      </c>
      <c r="D39" s="20" t="s">
        <v>103</v>
      </c>
      <c r="E39" s="20" t="s">
        <v>103</v>
      </c>
      <c r="F39" s="20" t="s">
        <v>103</v>
      </c>
      <c r="G39" s="20" t="s">
        <v>103</v>
      </c>
    </row>
    <row r="40" spans="1:15">
      <c r="A40" s="20">
        <v>2</v>
      </c>
      <c r="B40" s="20" t="s">
        <v>103</v>
      </c>
      <c r="C40" s="20" t="s">
        <v>103</v>
      </c>
      <c r="D40" s="20" t="s">
        <v>103</v>
      </c>
      <c r="E40" s="20" t="s">
        <v>103</v>
      </c>
      <c r="F40" s="20" t="s">
        <v>103</v>
      </c>
      <c r="G40" s="20" t="s">
        <v>103</v>
      </c>
    </row>
    <row r="41" spans="1:15">
      <c r="A41" s="20">
        <v>3</v>
      </c>
      <c r="B41" s="18" t="s">
        <v>104</v>
      </c>
      <c r="C41" s="18" t="s">
        <v>105</v>
      </c>
      <c r="D41" s="20" t="s">
        <v>105</v>
      </c>
      <c r="E41" s="31" t="s">
        <v>106</v>
      </c>
      <c r="F41" s="31" t="s">
        <v>106</v>
      </c>
      <c r="G41" s="31" t="s">
        <v>106</v>
      </c>
    </row>
    <row r="42" spans="1:15">
      <c r="A42" s="20">
        <v>4</v>
      </c>
      <c r="B42" s="18" t="s">
        <v>105</v>
      </c>
      <c r="C42" s="18" t="s">
        <v>104</v>
      </c>
      <c r="D42" s="20" t="s">
        <v>104</v>
      </c>
      <c r="E42" s="31" t="s">
        <v>106</v>
      </c>
      <c r="F42" s="31" t="s">
        <v>106</v>
      </c>
      <c r="G42" s="31" t="s">
        <v>106</v>
      </c>
    </row>
    <row r="43" spans="1:15">
      <c r="A43" s="20">
        <v>5</v>
      </c>
      <c r="B43" s="20" t="s">
        <v>106</v>
      </c>
      <c r="C43" s="20" t="s">
        <v>106</v>
      </c>
      <c r="D43" s="20" t="s">
        <v>106</v>
      </c>
      <c r="E43" s="31" t="s">
        <v>105</v>
      </c>
      <c r="F43" s="31" t="s">
        <v>105</v>
      </c>
      <c r="G43" s="31" t="s">
        <v>105</v>
      </c>
      <c r="J43" s="6"/>
      <c r="K43" s="6"/>
      <c r="M43" s="52"/>
      <c r="N43" s="52"/>
      <c r="O43" s="52"/>
    </row>
    <row r="44" spans="1:15">
      <c r="A44" s="20">
        <v>6</v>
      </c>
      <c r="B44" s="20" t="s">
        <v>106</v>
      </c>
      <c r="C44" s="20" t="s">
        <v>106</v>
      </c>
      <c r="D44" s="20" t="s">
        <v>106</v>
      </c>
      <c r="E44" s="31" t="s">
        <v>104</v>
      </c>
      <c r="F44" s="31" t="s">
        <v>104</v>
      </c>
      <c r="G44" s="31" t="s">
        <v>104</v>
      </c>
      <c r="J44" s="6"/>
      <c r="K44" s="6"/>
      <c r="M44" s="52"/>
      <c r="N44" s="52"/>
      <c r="O44" s="52"/>
    </row>
    <row r="45" spans="1:15">
      <c r="M45" s="52"/>
      <c r="N45" s="52"/>
      <c r="O45" s="52"/>
    </row>
    <row r="46" spans="1:15">
      <c r="M46" s="52"/>
      <c r="N46" s="52"/>
      <c r="O46" s="52"/>
    </row>
  </sheetData>
  <mergeCells count="3">
    <mergeCell ref="A35:G35"/>
    <mergeCell ref="B37:D37"/>
    <mergeCell ref="E37:G3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3"/>
  <sheetViews>
    <sheetView zoomScale="115" zoomScaleNormal="115" workbookViewId="0">
      <selection activeCell="E38" sqref="E38"/>
    </sheetView>
  </sheetViews>
  <sheetFormatPr defaultColWidth="9" defaultRowHeight="15" outlineLevelCol="7"/>
  <cols>
    <col min="1" max="4" width="9" style="1"/>
    <col min="5" max="5" width="25.5" style="1" customWidth="1"/>
    <col min="6" max="6" width="32.875" style="1" customWidth="1"/>
    <col min="7" max="7" width="38.375" style="1" customWidth="1"/>
    <col min="8" max="16384" width="9" style="1"/>
  </cols>
  <sheetData>
    <row r="2" spans="2:8">
      <c r="B2" s="6"/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</row>
    <row r="3" spans="2:8">
      <c r="B3" s="1">
        <v>1</v>
      </c>
      <c r="E3" s="1" t="s">
        <v>13</v>
      </c>
      <c r="F3" s="1" t="s">
        <v>14</v>
      </c>
      <c r="G3" s="1" t="s">
        <v>15</v>
      </c>
      <c r="H3" s="1">
        <v>1</v>
      </c>
    </row>
    <row r="4" spans="2:8">
      <c r="B4" s="1">
        <v>2</v>
      </c>
      <c r="E4" s="1" t="s">
        <v>17</v>
      </c>
      <c r="F4" s="1" t="s">
        <v>18</v>
      </c>
      <c r="G4" s="1" t="s">
        <v>19</v>
      </c>
      <c r="H4" s="1">
        <v>1</v>
      </c>
    </row>
    <row r="5" spans="2:8">
      <c r="B5" s="1">
        <v>3</v>
      </c>
      <c r="E5" s="1" t="s">
        <v>20</v>
      </c>
      <c r="F5" s="1" t="s">
        <v>21</v>
      </c>
      <c r="G5" s="1" t="s">
        <v>22</v>
      </c>
      <c r="H5" s="1">
        <v>1</v>
      </c>
    </row>
    <row r="6" spans="2:8">
      <c r="B6" s="1">
        <v>4</v>
      </c>
      <c r="E6" s="1" t="s">
        <v>23</v>
      </c>
      <c r="F6" s="1" t="s">
        <v>24</v>
      </c>
      <c r="G6" s="1" t="s">
        <v>25</v>
      </c>
      <c r="H6" s="1">
        <v>1</v>
      </c>
    </row>
    <row r="7" spans="2:8">
      <c r="B7" s="1">
        <v>5</v>
      </c>
      <c r="E7" s="1" t="s">
        <v>26</v>
      </c>
      <c r="F7" s="1" t="s">
        <v>27</v>
      </c>
      <c r="G7" s="1" t="s">
        <v>28</v>
      </c>
      <c r="H7" s="1">
        <v>1</v>
      </c>
    </row>
    <row r="8" spans="2:8">
      <c r="B8" s="1">
        <v>6</v>
      </c>
      <c r="E8" s="1" t="s">
        <v>29</v>
      </c>
      <c r="F8" s="1" t="s">
        <v>30</v>
      </c>
      <c r="G8" s="1" t="s">
        <v>31</v>
      </c>
      <c r="H8" s="1">
        <v>2</v>
      </c>
    </row>
    <row r="9" spans="2:8">
      <c r="B9" s="1">
        <v>7</v>
      </c>
      <c r="E9" s="1" t="s">
        <v>32</v>
      </c>
      <c r="F9" s="1" t="s">
        <v>33</v>
      </c>
      <c r="G9" s="1" t="s">
        <v>34</v>
      </c>
      <c r="H9" s="1">
        <v>1</v>
      </c>
    </row>
    <row r="10" spans="2:8">
      <c r="B10" s="1">
        <v>8</v>
      </c>
      <c r="E10" s="1" t="s">
        <v>35</v>
      </c>
      <c r="F10" s="1" t="s">
        <v>36</v>
      </c>
      <c r="G10" s="1" t="s">
        <v>37</v>
      </c>
      <c r="H10" s="1">
        <v>1</v>
      </c>
    </row>
    <row r="11" spans="2:8">
      <c r="B11" s="1">
        <v>9</v>
      </c>
      <c r="E11" s="1" t="s">
        <v>38</v>
      </c>
      <c r="F11" s="1" t="s">
        <v>39</v>
      </c>
      <c r="G11" s="1" t="s">
        <v>40</v>
      </c>
      <c r="H11" s="1">
        <v>1</v>
      </c>
    </row>
    <row r="12" spans="2:8">
      <c r="B12" s="1">
        <v>10</v>
      </c>
      <c r="E12" s="1" t="s">
        <v>41</v>
      </c>
      <c r="F12" s="1" t="s">
        <v>42</v>
      </c>
      <c r="G12" s="1" t="s">
        <v>40</v>
      </c>
      <c r="H12" s="1">
        <v>1</v>
      </c>
    </row>
    <row r="13" spans="2:8">
      <c r="B13" s="1">
        <v>11</v>
      </c>
      <c r="E13" s="1" t="s">
        <v>43</v>
      </c>
      <c r="F13" s="1" t="s">
        <v>44</v>
      </c>
      <c r="G13" s="1" t="s">
        <v>40</v>
      </c>
      <c r="H13" s="1">
        <v>2</v>
      </c>
    </row>
    <row r="14" spans="2:8">
      <c r="B14" s="1">
        <v>12</v>
      </c>
      <c r="E14" s="1" t="s">
        <v>107</v>
      </c>
      <c r="F14" s="1" t="s">
        <v>46</v>
      </c>
      <c r="G14" s="1" t="s">
        <v>40</v>
      </c>
      <c r="H14" s="1">
        <v>7</v>
      </c>
    </row>
    <row r="15" spans="2:8">
      <c r="B15" s="1">
        <v>13</v>
      </c>
      <c r="E15" s="1" t="s">
        <v>47</v>
      </c>
      <c r="F15" s="1" t="s">
        <v>48</v>
      </c>
      <c r="G15" s="1" t="s">
        <v>40</v>
      </c>
      <c r="H15" s="1">
        <v>1</v>
      </c>
    </row>
    <row r="16" spans="2:8">
      <c r="B16" s="1">
        <v>14</v>
      </c>
      <c r="E16" s="1" t="s">
        <v>108</v>
      </c>
      <c r="F16" s="1" t="s">
        <v>50</v>
      </c>
      <c r="G16" s="1" t="s">
        <v>40</v>
      </c>
      <c r="H16" s="1">
        <v>4</v>
      </c>
    </row>
    <row r="17" spans="2:8">
      <c r="B17" s="1">
        <v>15</v>
      </c>
      <c r="E17" s="1" t="s">
        <v>51</v>
      </c>
      <c r="F17" s="1" t="s">
        <v>52</v>
      </c>
      <c r="G17" s="1" t="s">
        <v>40</v>
      </c>
      <c r="H17" s="1">
        <v>1</v>
      </c>
    </row>
    <row r="18" spans="2:8">
      <c r="B18" s="1">
        <v>16</v>
      </c>
      <c r="E18" s="1" t="s">
        <v>53</v>
      </c>
      <c r="F18" s="1">
        <v>0</v>
      </c>
      <c r="G18" s="1" t="s">
        <v>40</v>
      </c>
      <c r="H18" s="1">
        <v>2</v>
      </c>
    </row>
    <row r="19" spans="2:8">
      <c r="B19" s="1">
        <v>17</v>
      </c>
      <c r="E19" s="1" t="s">
        <v>54</v>
      </c>
      <c r="F19" s="1" t="s">
        <v>55</v>
      </c>
      <c r="G19" s="1" t="s">
        <v>56</v>
      </c>
      <c r="H19" s="1">
        <v>1</v>
      </c>
    </row>
    <row r="20" spans="2:8">
      <c r="B20" s="1">
        <v>18</v>
      </c>
      <c r="E20" s="1" t="s">
        <v>57</v>
      </c>
      <c r="F20" s="1" t="s">
        <v>58</v>
      </c>
      <c r="G20" s="1" t="s">
        <v>56</v>
      </c>
      <c r="H20" s="1">
        <v>2</v>
      </c>
    </row>
    <row r="21" spans="2:8">
      <c r="B21" s="1">
        <v>19</v>
      </c>
      <c r="E21" s="1" t="s">
        <v>59</v>
      </c>
      <c r="F21" s="1" t="s">
        <v>60</v>
      </c>
      <c r="G21" s="1" t="s">
        <v>61</v>
      </c>
      <c r="H21" s="1">
        <v>2</v>
      </c>
    </row>
    <row r="22" spans="2:8">
      <c r="B22" s="1">
        <v>20</v>
      </c>
      <c r="E22" s="1" t="s">
        <v>62</v>
      </c>
      <c r="F22" s="1" t="s">
        <v>63</v>
      </c>
      <c r="G22" s="1" t="s">
        <v>64</v>
      </c>
      <c r="H22" s="1">
        <v>1</v>
      </c>
    </row>
    <row r="23" spans="2:8">
      <c r="B23" s="1">
        <v>21</v>
      </c>
      <c r="E23" s="1" t="s">
        <v>65</v>
      </c>
      <c r="F23" s="1" t="s">
        <v>66</v>
      </c>
      <c r="G23" s="1" t="s">
        <v>67</v>
      </c>
      <c r="H23" s="1">
        <v>2</v>
      </c>
    </row>
    <row r="24" spans="2:8">
      <c r="B24" s="1">
        <v>22</v>
      </c>
      <c r="E24" s="1" t="s">
        <v>68</v>
      </c>
      <c r="F24" s="1" t="s">
        <v>69</v>
      </c>
      <c r="G24" s="1" t="s">
        <v>70</v>
      </c>
      <c r="H24" s="1">
        <v>2</v>
      </c>
    </row>
    <row r="25" spans="2:8">
      <c r="B25" s="1">
        <v>23</v>
      </c>
      <c r="E25" s="1" t="s">
        <v>71</v>
      </c>
      <c r="F25" s="1" t="s">
        <v>72</v>
      </c>
      <c r="G25" s="1" t="s">
        <v>73</v>
      </c>
      <c r="H25" s="1">
        <v>1</v>
      </c>
    </row>
    <row r="26" spans="2:8">
      <c r="B26" s="1">
        <v>24</v>
      </c>
      <c r="E26" s="1" t="s">
        <v>74</v>
      </c>
      <c r="F26" s="1" t="s">
        <v>75</v>
      </c>
      <c r="G26" s="1" t="s">
        <v>76</v>
      </c>
      <c r="H26" s="1">
        <v>1</v>
      </c>
    </row>
    <row r="27" spans="2:8">
      <c r="B27" s="1">
        <v>25</v>
      </c>
      <c r="E27" s="1" t="s">
        <v>77</v>
      </c>
      <c r="F27" s="1" t="s">
        <v>78</v>
      </c>
      <c r="G27" s="1" t="s">
        <v>79</v>
      </c>
      <c r="H27" s="1">
        <v>2</v>
      </c>
    </row>
    <row r="28" spans="2:8">
      <c r="B28" s="1">
        <v>26</v>
      </c>
      <c r="E28" s="1" t="s">
        <v>80</v>
      </c>
      <c r="F28" s="1" t="s">
        <v>81</v>
      </c>
      <c r="G28" s="1" t="s">
        <v>79</v>
      </c>
      <c r="H28" s="1">
        <v>5</v>
      </c>
    </row>
    <row r="29" spans="2:8">
      <c r="B29" s="1">
        <v>27</v>
      </c>
      <c r="E29" s="1" t="s">
        <v>82</v>
      </c>
      <c r="F29" s="1" t="s">
        <v>83</v>
      </c>
      <c r="G29" s="1" t="s">
        <v>79</v>
      </c>
      <c r="H29" s="1">
        <v>1</v>
      </c>
    </row>
    <row r="30" spans="2:8">
      <c r="B30" s="1">
        <v>28</v>
      </c>
      <c r="E30" s="1" t="s">
        <v>109</v>
      </c>
      <c r="F30" s="1" t="s">
        <v>85</v>
      </c>
      <c r="G30" s="1" t="s">
        <v>79</v>
      </c>
      <c r="H30" s="1">
        <v>19</v>
      </c>
    </row>
    <row r="31" spans="2:8">
      <c r="B31" s="1">
        <v>29</v>
      </c>
      <c r="E31" s="1" t="s">
        <v>110</v>
      </c>
      <c r="F31" s="1" t="s">
        <v>87</v>
      </c>
      <c r="G31" s="1" t="s">
        <v>88</v>
      </c>
      <c r="H31" s="1">
        <v>2</v>
      </c>
    </row>
    <row r="32" spans="2:8">
      <c r="B32" s="1">
        <v>30</v>
      </c>
      <c r="E32" s="1" t="s">
        <v>111</v>
      </c>
      <c r="F32" s="1" t="s">
        <v>90</v>
      </c>
      <c r="G32" s="1" t="s">
        <v>91</v>
      </c>
      <c r="H32" s="1">
        <v>7</v>
      </c>
    </row>
    <row r="33" spans="2:8">
      <c r="B33" s="1">
        <v>31</v>
      </c>
      <c r="E33" s="1" t="s">
        <v>92</v>
      </c>
      <c r="F33" s="1" t="s">
        <v>93</v>
      </c>
      <c r="G33" s="1" t="s">
        <v>94</v>
      </c>
      <c r="H33" s="1">
        <v>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zoomScale="85" zoomScaleNormal="85" workbookViewId="0">
      <selection activeCell="A59" sqref="A59"/>
    </sheetView>
  </sheetViews>
  <sheetFormatPr defaultColWidth="9" defaultRowHeight="13.5" outlineLevelCol="6"/>
  <cols>
    <col min="4" max="4" width="17.25" customWidth="1"/>
    <col min="5" max="5" width="28.625" customWidth="1"/>
    <col min="6" max="6" width="29.5" customWidth="1"/>
  </cols>
  <sheetData>
    <row r="1" ht="15" spans="1:7">
      <c r="A1" s="6"/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</row>
    <row r="2" ht="15" spans="1:7">
      <c r="A2" s="1">
        <v>1</v>
      </c>
      <c r="B2" s="1"/>
      <c r="C2" s="1"/>
      <c r="D2" s="1" t="s">
        <v>13</v>
      </c>
      <c r="E2" s="1" t="s">
        <v>14</v>
      </c>
      <c r="F2" s="1" t="s">
        <v>15</v>
      </c>
      <c r="G2" s="1">
        <v>1</v>
      </c>
    </row>
    <row r="3" ht="15" spans="1:7">
      <c r="A3" s="1">
        <v>2</v>
      </c>
      <c r="B3" s="1"/>
      <c r="C3" s="1"/>
      <c r="D3" s="1" t="s">
        <v>112</v>
      </c>
      <c r="E3" s="1" t="s">
        <v>113</v>
      </c>
      <c r="F3" s="1" t="s">
        <v>114</v>
      </c>
      <c r="G3" s="1">
        <v>1</v>
      </c>
    </row>
    <row r="4" ht="15" spans="1:7">
      <c r="A4" s="1">
        <v>3</v>
      </c>
      <c r="B4" s="1"/>
      <c r="C4" s="1"/>
      <c r="D4" s="1" t="s">
        <v>26</v>
      </c>
      <c r="E4" s="1" t="s">
        <v>21</v>
      </c>
      <c r="F4" s="1" t="s">
        <v>22</v>
      </c>
      <c r="G4" s="1">
        <v>1</v>
      </c>
    </row>
    <row r="5" ht="15" spans="1:7">
      <c r="A5" s="1">
        <v>4</v>
      </c>
      <c r="B5" s="1"/>
      <c r="C5" s="1"/>
      <c r="D5" s="1" t="s">
        <v>32</v>
      </c>
      <c r="E5" s="1" t="s">
        <v>115</v>
      </c>
      <c r="F5" s="1" t="s">
        <v>25</v>
      </c>
      <c r="G5" s="1">
        <v>1</v>
      </c>
    </row>
    <row r="6" ht="15" spans="1:7">
      <c r="A6" s="1">
        <v>5</v>
      </c>
      <c r="B6" s="1"/>
      <c r="C6" s="1"/>
      <c r="D6" s="1" t="s">
        <v>116</v>
      </c>
      <c r="E6" s="1" t="s">
        <v>18</v>
      </c>
      <c r="F6" s="1" t="s">
        <v>28</v>
      </c>
      <c r="G6" s="1">
        <v>1</v>
      </c>
    </row>
    <row r="7" ht="15" spans="1:7">
      <c r="A7" s="1">
        <v>6</v>
      </c>
      <c r="B7" s="1"/>
      <c r="C7" s="1"/>
      <c r="D7" s="1" t="s">
        <v>117</v>
      </c>
      <c r="E7" s="1" t="s">
        <v>118</v>
      </c>
      <c r="F7" s="1" t="s">
        <v>119</v>
      </c>
      <c r="G7" s="1">
        <v>1</v>
      </c>
    </row>
    <row r="8" ht="15" spans="1:7">
      <c r="A8" s="1">
        <v>7</v>
      </c>
      <c r="B8" s="1"/>
      <c r="C8" s="1"/>
      <c r="D8" s="1" t="s">
        <v>120</v>
      </c>
      <c r="E8" s="1" t="s">
        <v>121</v>
      </c>
      <c r="F8" s="1" t="s">
        <v>122</v>
      </c>
      <c r="G8" s="1">
        <v>1</v>
      </c>
    </row>
    <row r="9" ht="15" spans="1:7">
      <c r="A9" s="1">
        <v>8</v>
      </c>
      <c r="B9" s="1"/>
      <c r="C9" s="1"/>
      <c r="D9" s="1" t="s">
        <v>123</v>
      </c>
      <c r="E9" s="1" t="s">
        <v>124</v>
      </c>
      <c r="F9" s="1" t="s">
        <v>125</v>
      </c>
      <c r="G9" s="1">
        <v>1</v>
      </c>
    </row>
    <row r="10" ht="15" spans="1:7">
      <c r="A10" s="1">
        <v>9</v>
      </c>
      <c r="B10" s="1"/>
      <c r="C10" s="1"/>
      <c r="D10" s="1" t="s">
        <v>23</v>
      </c>
      <c r="E10" s="1" t="s">
        <v>126</v>
      </c>
      <c r="F10" s="1" t="s">
        <v>127</v>
      </c>
      <c r="G10" s="1">
        <v>1</v>
      </c>
    </row>
    <row r="11" ht="15" spans="1:7">
      <c r="A11" s="1">
        <v>10</v>
      </c>
      <c r="B11" s="1"/>
      <c r="C11" s="1"/>
      <c r="D11" s="1" t="s">
        <v>128</v>
      </c>
      <c r="E11" s="1" t="s">
        <v>129</v>
      </c>
      <c r="F11" s="1" t="s">
        <v>130</v>
      </c>
      <c r="G11" s="1">
        <v>1</v>
      </c>
    </row>
    <row r="12" ht="15" spans="1:7">
      <c r="A12" s="1">
        <v>11</v>
      </c>
      <c r="B12" s="1"/>
      <c r="C12" s="1"/>
      <c r="D12" s="1" t="s">
        <v>131</v>
      </c>
      <c r="E12" s="1" t="s">
        <v>132</v>
      </c>
      <c r="F12" s="1" t="s">
        <v>133</v>
      </c>
      <c r="G12" s="1">
        <v>1</v>
      </c>
    </row>
    <row r="13" ht="15" spans="1:7">
      <c r="A13" s="1">
        <v>12</v>
      </c>
      <c r="B13" s="1"/>
      <c r="C13" s="1"/>
      <c r="D13" s="1" t="s">
        <v>134</v>
      </c>
      <c r="E13" s="1" t="s">
        <v>135</v>
      </c>
      <c r="F13" s="1" t="s">
        <v>136</v>
      </c>
      <c r="G13" s="1">
        <v>1</v>
      </c>
    </row>
    <row r="14" ht="15" spans="1:7">
      <c r="A14" s="1">
        <v>13</v>
      </c>
      <c r="B14" s="1"/>
      <c r="C14" s="1"/>
      <c r="D14" s="1" t="s">
        <v>137</v>
      </c>
      <c r="E14" s="1" t="s">
        <v>138</v>
      </c>
      <c r="F14" s="1" t="s">
        <v>136</v>
      </c>
      <c r="G14" s="1">
        <v>2</v>
      </c>
    </row>
    <row r="15" ht="15" spans="1:7">
      <c r="A15" s="1">
        <v>14</v>
      </c>
      <c r="B15" s="1"/>
      <c r="C15" s="1"/>
      <c r="D15" s="1" t="s">
        <v>139</v>
      </c>
      <c r="E15" s="1" t="s">
        <v>140</v>
      </c>
      <c r="F15" s="1" t="s">
        <v>136</v>
      </c>
      <c r="G15" s="1">
        <v>3</v>
      </c>
    </row>
    <row r="16" ht="15" spans="1:7">
      <c r="A16" s="1">
        <v>15</v>
      </c>
      <c r="B16" s="1"/>
      <c r="C16" s="1"/>
      <c r="D16" s="1" t="s">
        <v>141</v>
      </c>
      <c r="E16" s="1" t="s">
        <v>142</v>
      </c>
      <c r="F16" s="1" t="s">
        <v>136</v>
      </c>
      <c r="G16" s="1">
        <v>4</v>
      </c>
    </row>
    <row r="17" ht="15" spans="1:7">
      <c r="A17" s="1">
        <v>16</v>
      </c>
      <c r="B17" s="1"/>
      <c r="C17" s="1"/>
      <c r="D17" s="1" t="s">
        <v>143</v>
      </c>
      <c r="E17" s="1" t="s">
        <v>144</v>
      </c>
      <c r="F17" s="1" t="s">
        <v>136</v>
      </c>
      <c r="G17" s="1">
        <v>1</v>
      </c>
    </row>
    <row r="18" ht="15" spans="1:7">
      <c r="A18" s="1">
        <v>17</v>
      </c>
      <c r="B18" s="1"/>
      <c r="C18" s="1"/>
      <c r="D18" s="1" t="s">
        <v>145</v>
      </c>
      <c r="E18" s="1" t="s">
        <v>146</v>
      </c>
      <c r="F18" s="1" t="s">
        <v>136</v>
      </c>
      <c r="G18" s="1">
        <v>1</v>
      </c>
    </row>
    <row r="19" ht="15" spans="1:7">
      <c r="A19" s="1">
        <v>18</v>
      </c>
      <c r="B19" s="1"/>
      <c r="C19" s="1"/>
      <c r="D19" s="1" t="s">
        <v>147</v>
      </c>
      <c r="E19" s="1" t="s">
        <v>44</v>
      </c>
      <c r="F19" s="1" t="s">
        <v>136</v>
      </c>
      <c r="G19" s="1">
        <v>1</v>
      </c>
    </row>
    <row r="20" ht="15" spans="1:7">
      <c r="A20" s="1">
        <v>19</v>
      </c>
      <c r="B20" s="1"/>
      <c r="C20" s="1"/>
      <c r="D20" s="1" t="s">
        <v>148</v>
      </c>
      <c r="E20" s="1" t="s">
        <v>46</v>
      </c>
      <c r="F20" s="1" t="s">
        <v>136</v>
      </c>
      <c r="G20" s="1">
        <v>1</v>
      </c>
    </row>
    <row r="21" ht="15" spans="1:7">
      <c r="A21" s="1">
        <v>20</v>
      </c>
      <c r="B21" s="1"/>
      <c r="C21" s="1"/>
      <c r="D21" s="1" t="s">
        <v>149</v>
      </c>
      <c r="E21" s="1" t="s">
        <v>150</v>
      </c>
      <c r="F21" s="1" t="s">
        <v>136</v>
      </c>
      <c r="G21" s="1">
        <v>2</v>
      </c>
    </row>
    <row r="22" ht="15" spans="1:7">
      <c r="A22" s="1">
        <v>21</v>
      </c>
      <c r="B22" s="1"/>
      <c r="C22" s="1"/>
      <c r="D22" s="1" t="s">
        <v>151</v>
      </c>
      <c r="E22" s="1" t="s">
        <v>152</v>
      </c>
      <c r="F22" s="1" t="s">
        <v>136</v>
      </c>
      <c r="G22" s="1">
        <v>1</v>
      </c>
    </row>
    <row r="23" ht="15" spans="1:7">
      <c r="A23" s="1">
        <v>22</v>
      </c>
      <c r="B23" s="1"/>
      <c r="C23" s="1"/>
      <c r="D23" s="1" t="s">
        <v>153</v>
      </c>
      <c r="E23" s="1" t="s">
        <v>50</v>
      </c>
      <c r="F23" s="1" t="s">
        <v>136</v>
      </c>
      <c r="G23" s="1">
        <v>8</v>
      </c>
    </row>
    <row r="24" ht="15" spans="1:7">
      <c r="A24" s="1">
        <v>23</v>
      </c>
      <c r="B24" s="1"/>
      <c r="C24" s="1"/>
      <c r="D24" s="1" t="s">
        <v>154</v>
      </c>
      <c r="E24" s="1" t="s">
        <v>155</v>
      </c>
      <c r="F24" s="1" t="s">
        <v>136</v>
      </c>
      <c r="G24" s="1">
        <v>1</v>
      </c>
    </row>
    <row r="25" ht="15" spans="1:7">
      <c r="A25" s="1">
        <v>24</v>
      </c>
      <c r="B25" s="1"/>
      <c r="C25" s="1"/>
      <c r="D25" s="1" t="s">
        <v>51</v>
      </c>
      <c r="E25" s="1" t="s">
        <v>52</v>
      </c>
      <c r="F25" s="1" t="s">
        <v>136</v>
      </c>
      <c r="G25" s="1">
        <v>1</v>
      </c>
    </row>
    <row r="26" ht="15" spans="1:7">
      <c r="A26" s="1">
        <v>25</v>
      </c>
      <c r="B26" s="1"/>
      <c r="C26" s="1"/>
      <c r="D26" s="1" t="s">
        <v>156</v>
      </c>
      <c r="E26" s="1" t="s">
        <v>55</v>
      </c>
      <c r="F26" s="1" t="s">
        <v>136</v>
      </c>
      <c r="G26" s="1">
        <v>6</v>
      </c>
    </row>
    <row r="27" ht="15" spans="1:7">
      <c r="A27" s="1">
        <v>26</v>
      </c>
      <c r="B27" s="1"/>
      <c r="C27" s="1"/>
      <c r="D27" s="1" t="s">
        <v>157</v>
      </c>
      <c r="E27" s="1" t="s">
        <v>44</v>
      </c>
      <c r="F27" s="1" t="s">
        <v>40</v>
      </c>
      <c r="G27" s="1">
        <v>1</v>
      </c>
    </row>
    <row r="28" ht="15" spans="1:7">
      <c r="A28" s="1">
        <v>27</v>
      </c>
      <c r="B28" s="1"/>
      <c r="C28" s="1"/>
      <c r="D28" s="1" t="s">
        <v>158</v>
      </c>
      <c r="E28" s="1" t="s">
        <v>159</v>
      </c>
      <c r="F28" s="1" t="s">
        <v>160</v>
      </c>
      <c r="G28" s="1">
        <v>1</v>
      </c>
    </row>
    <row r="29" ht="15" spans="1:7">
      <c r="A29" s="1">
        <v>28</v>
      </c>
      <c r="B29" s="1"/>
      <c r="C29" s="1"/>
      <c r="D29" s="1" t="s">
        <v>161</v>
      </c>
      <c r="E29" s="1" t="s">
        <v>162</v>
      </c>
      <c r="F29" s="1" t="s">
        <v>163</v>
      </c>
      <c r="G29" s="1">
        <v>1</v>
      </c>
    </row>
    <row r="30" ht="15" spans="1:7">
      <c r="A30" s="1">
        <v>29</v>
      </c>
      <c r="B30" s="1"/>
      <c r="C30" s="1"/>
      <c r="D30" s="1" t="s">
        <v>164</v>
      </c>
      <c r="E30" s="1" t="s">
        <v>165</v>
      </c>
      <c r="F30" s="1" t="s">
        <v>163</v>
      </c>
      <c r="G30" s="1">
        <v>1</v>
      </c>
    </row>
    <row r="31" ht="15" spans="1:7">
      <c r="A31" s="1">
        <v>30</v>
      </c>
      <c r="B31" s="1"/>
      <c r="C31" s="1"/>
      <c r="D31" s="1" t="s">
        <v>166</v>
      </c>
      <c r="E31" s="1" t="s">
        <v>60</v>
      </c>
      <c r="F31" s="1" t="s">
        <v>61</v>
      </c>
      <c r="G31" s="1">
        <v>1</v>
      </c>
    </row>
    <row r="32" ht="15" spans="1:7">
      <c r="A32" s="1">
        <v>31</v>
      </c>
      <c r="B32" s="1"/>
      <c r="C32" s="1"/>
      <c r="D32" s="1" t="s">
        <v>167</v>
      </c>
      <c r="E32" s="1" t="s">
        <v>168</v>
      </c>
      <c r="F32" s="1" t="s">
        <v>169</v>
      </c>
      <c r="G32" s="1">
        <v>1</v>
      </c>
    </row>
    <row r="33" ht="15" spans="1:7">
      <c r="A33" s="1">
        <v>32</v>
      </c>
      <c r="B33" s="1"/>
      <c r="C33" s="1"/>
      <c r="D33" s="1" t="s">
        <v>62</v>
      </c>
      <c r="E33" s="1" t="s">
        <v>63</v>
      </c>
      <c r="F33" s="1" t="s">
        <v>64</v>
      </c>
      <c r="G33" s="1">
        <v>1</v>
      </c>
    </row>
    <row r="34" ht="15" spans="1:7">
      <c r="A34" s="1">
        <v>33</v>
      </c>
      <c r="B34" s="1"/>
      <c r="C34" s="1"/>
      <c r="D34" s="1" t="s">
        <v>170</v>
      </c>
      <c r="E34" s="1" t="s">
        <v>69</v>
      </c>
      <c r="F34" s="1" t="s">
        <v>70</v>
      </c>
      <c r="G34" s="1">
        <v>2</v>
      </c>
    </row>
    <row r="35" ht="15" spans="1:7">
      <c r="A35" s="1">
        <v>34</v>
      </c>
      <c r="B35" s="1"/>
      <c r="C35" s="1"/>
      <c r="D35" s="1" t="s">
        <v>171</v>
      </c>
      <c r="E35" s="1" t="s">
        <v>72</v>
      </c>
      <c r="F35" s="1" t="s">
        <v>73</v>
      </c>
      <c r="G35" s="1">
        <v>1</v>
      </c>
    </row>
    <row r="36" ht="15" spans="1:7">
      <c r="A36" s="1">
        <v>35</v>
      </c>
      <c r="B36" s="1"/>
      <c r="C36" s="1"/>
      <c r="D36" s="1" t="s">
        <v>71</v>
      </c>
      <c r="E36" s="1" t="s">
        <v>75</v>
      </c>
      <c r="F36" s="1" t="s">
        <v>76</v>
      </c>
      <c r="G36" s="1">
        <v>1</v>
      </c>
    </row>
    <row r="37" ht="15" spans="1:7">
      <c r="A37" s="1">
        <v>36</v>
      </c>
      <c r="B37" s="1"/>
      <c r="C37" s="1"/>
      <c r="D37" s="1" t="s">
        <v>172</v>
      </c>
      <c r="E37" s="1" t="s">
        <v>173</v>
      </c>
      <c r="F37" s="1" t="s">
        <v>79</v>
      </c>
      <c r="G37" s="1">
        <v>1</v>
      </c>
    </row>
    <row r="38" ht="15" spans="1:7">
      <c r="A38" s="1">
        <v>37</v>
      </c>
      <c r="B38" s="1"/>
      <c r="C38" s="1"/>
      <c r="D38" s="1" t="s">
        <v>174</v>
      </c>
      <c r="E38" s="1" t="s">
        <v>78</v>
      </c>
      <c r="F38" s="1" t="s">
        <v>79</v>
      </c>
      <c r="G38" s="1">
        <v>2</v>
      </c>
    </row>
    <row r="39" ht="15" spans="1:7">
      <c r="A39" s="1">
        <v>38</v>
      </c>
      <c r="B39" s="1"/>
      <c r="C39" s="1"/>
      <c r="D39" s="1" t="s">
        <v>175</v>
      </c>
      <c r="E39" s="1" t="s">
        <v>176</v>
      </c>
      <c r="F39" s="1" t="s">
        <v>79</v>
      </c>
      <c r="G39" s="1">
        <v>1</v>
      </c>
    </row>
    <row r="40" ht="15" spans="1:7">
      <c r="A40" s="1">
        <v>39</v>
      </c>
      <c r="B40" s="1"/>
      <c r="C40" s="1"/>
      <c r="D40" s="1" t="s">
        <v>177</v>
      </c>
      <c r="E40" s="1" t="s">
        <v>178</v>
      </c>
      <c r="F40" s="1" t="s">
        <v>79</v>
      </c>
      <c r="G40" s="1">
        <v>1</v>
      </c>
    </row>
    <row r="41" ht="15" spans="1:7">
      <c r="A41" s="1">
        <v>40</v>
      </c>
      <c r="B41" s="1"/>
      <c r="C41" s="1"/>
      <c r="D41" s="1" t="s">
        <v>179</v>
      </c>
      <c r="E41" s="1" t="s">
        <v>81</v>
      </c>
      <c r="F41" s="1" t="s">
        <v>79</v>
      </c>
      <c r="G41" s="1">
        <v>7</v>
      </c>
    </row>
    <row r="42" ht="15" spans="1:7">
      <c r="A42" s="1">
        <v>41</v>
      </c>
      <c r="B42" s="1"/>
      <c r="C42" s="1"/>
      <c r="D42" s="1" t="s">
        <v>180</v>
      </c>
      <c r="E42" s="1" t="s">
        <v>181</v>
      </c>
      <c r="F42" s="1" t="s">
        <v>79</v>
      </c>
      <c r="G42" s="1">
        <v>1</v>
      </c>
    </row>
    <row r="43" ht="15" spans="1:7">
      <c r="A43" s="1">
        <v>42</v>
      </c>
      <c r="B43" s="1"/>
      <c r="C43" s="1"/>
      <c r="D43" s="1" t="s">
        <v>86</v>
      </c>
      <c r="E43" s="1" t="s">
        <v>83</v>
      </c>
      <c r="F43" s="1" t="s">
        <v>79</v>
      </c>
      <c r="G43" s="1">
        <v>1</v>
      </c>
    </row>
    <row r="44" ht="15" spans="1:7">
      <c r="A44" s="1">
        <v>43</v>
      </c>
      <c r="B44" s="1"/>
      <c r="C44" s="1"/>
      <c r="D44" s="1" t="s">
        <v>182</v>
      </c>
      <c r="E44" s="1" t="s">
        <v>85</v>
      </c>
      <c r="F44" s="1" t="s">
        <v>79</v>
      </c>
      <c r="G44" s="1">
        <v>18</v>
      </c>
    </row>
    <row r="45" ht="15" spans="1:7">
      <c r="A45" s="1">
        <v>44</v>
      </c>
      <c r="B45" s="1"/>
      <c r="C45" s="1"/>
      <c r="D45" s="1" t="s">
        <v>183</v>
      </c>
      <c r="E45" s="1" t="s">
        <v>87</v>
      </c>
      <c r="F45" s="1" t="s">
        <v>88</v>
      </c>
      <c r="G45" s="1">
        <v>1</v>
      </c>
    </row>
    <row r="46" ht="15" spans="1:7">
      <c r="A46" s="1">
        <v>45</v>
      </c>
      <c r="B46" s="1"/>
      <c r="C46" s="1"/>
      <c r="D46" s="1" t="s">
        <v>82</v>
      </c>
      <c r="E46" s="1" t="s">
        <v>184</v>
      </c>
      <c r="F46" s="1" t="s">
        <v>185</v>
      </c>
      <c r="G46" s="1">
        <v>1</v>
      </c>
    </row>
    <row r="47" ht="15" spans="1:7">
      <c r="A47" s="1">
        <v>46</v>
      </c>
      <c r="B47" s="1"/>
      <c r="C47" s="1"/>
      <c r="D47" s="1" t="s">
        <v>186</v>
      </c>
      <c r="E47" s="1" t="s">
        <v>187</v>
      </c>
      <c r="F47" s="1" t="s">
        <v>185</v>
      </c>
      <c r="G47" s="1">
        <v>3</v>
      </c>
    </row>
    <row r="48" ht="15" spans="1:7">
      <c r="A48" s="1">
        <v>47</v>
      </c>
      <c r="B48" s="1"/>
      <c r="C48" s="1"/>
      <c r="D48" s="1" t="s">
        <v>188</v>
      </c>
      <c r="E48" s="1" t="s">
        <v>189</v>
      </c>
      <c r="F48" s="1" t="s">
        <v>190</v>
      </c>
      <c r="G48" s="1">
        <v>1</v>
      </c>
    </row>
    <row r="49" ht="15" spans="1:7">
      <c r="A49" s="1">
        <v>48</v>
      </c>
      <c r="B49" s="1"/>
      <c r="C49" s="1"/>
      <c r="D49" s="1">
        <v>1</v>
      </c>
      <c r="E49" s="1" t="s">
        <v>191</v>
      </c>
      <c r="F49" s="1" t="s">
        <v>191</v>
      </c>
      <c r="G49" s="1">
        <v>1</v>
      </c>
    </row>
    <row r="50" ht="15" spans="1:7">
      <c r="A50" s="1">
        <v>49</v>
      </c>
      <c r="B50" s="1"/>
      <c r="C50" s="1"/>
      <c r="D50" s="1" t="s">
        <v>192</v>
      </c>
      <c r="E50" s="1" t="s">
        <v>93</v>
      </c>
      <c r="F50" s="1" t="s">
        <v>193</v>
      </c>
      <c r="G50" s="1">
        <v>1</v>
      </c>
    </row>
    <row r="51" ht="15" spans="1:7">
      <c r="A51" s="1">
        <v>50</v>
      </c>
      <c r="B51" s="1"/>
      <c r="C51" s="1"/>
      <c r="D51" s="1" t="s">
        <v>194</v>
      </c>
      <c r="E51" s="1" t="s">
        <v>93</v>
      </c>
      <c r="F51" s="1" t="s">
        <v>94</v>
      </c>
      <c r="G51" s="1">
        <v>1</v>
      </c>
    </row>
    <row r="52" ht="15" spans="1:7">
      <c r="A52" s="1">
        <v>51</v>
      </c>
      <c r="B52" s="1"/>
      <c r="C52" s="1"/>
      <c r="D52" s="1" t="s">
        <v>195</v>
      </c>
      <c r="E52" s="1" t="s">
        <v>196</v>
      </c>
      <c r="F52" s="1" t="s">
        <v>197</v>
      </c>
      <c r="G52" s="1">
        <v>1</v>
      </c>
    </row>
    <row r="53" ht="15" spans="1:7">
      <c r="A53" s="1">
        <v>52</v>
      </c>
      <c r="B53" s="1"/>
      <c r="C53" s="1"/>
      <c r="D53" s="1" t="s">
        <v>198</v>
      </c>
      <c r="E53" s="1" t="s">
        <v>199</v>
      </c>
      <c r="F53" s="1" t="s">
        <v>199</v>
      </c>
      <c r="G53" s="1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G34" sqref="G34"/>
    </sheetView>
  </sheetViews>
  <sheetFormatPr defaultColWidth="9" defaultRowHeight="13.5" outlineLevelCol="2"/>
  <cols>
    <col min="2" max="2" width="13.625" customWidth="1"/>
    <col min="3" max="3" width="13" customWidth="1"/>
  </cols>
  <sheetData>
    <row r="2" ht="15" spans="1:3">
      <c r="A2" s="20"/>
      <c r="B2" s="19" t="s">
        <v>200</v>
      </c>
      <c r="C2" s="19" t="s">
        <v>201</v>
      </c>
    </row>
    <row r="3" ht="15" spans="1:3">
      <c r="A3" s="20">
        <v>1</v>
      </c>
      <c r="B3" s="20" t="s">
        <v>202</v>
      </c>
      <c r="C3" s="20">
        <v>467</v>
      </c>
    </row>
    <row r="4" ht="15" spans="1:3">
      <c r="A4" s="20">
        <v>2</v>
      </c>
      <c r="B4" s="20" t="s">
        <v>203</v>
      </c>
      <c r="C4" s="20">
        <v>153.36</v>
      </c>
    </row>
    <row r="5" ht="15" spans="1:3">
      <c r="A5" s="20">
        <v>3</v>
      </c>
      <c r="B5" s="20" t="s">
        <v>204</v>
      </c>
      <c r="C5" s="20">
        <v>42.37</v>
      </c>
    </row>
    <row r="6" ht="15" spans="1:3">
      <c r="A6" s="20">
        <v>4</v>
      </c>
      <c r="B6" s="20" t="s">
        <v>205</v>
      </c>
      <c r="C6" s="20">
        <v>1558</v>
      </c>
    </row>
    <row r="7" ht="15" spans="1:3">
      <c r="A7" s="20">
        <v>5</v>
      </c>
      <c r="B7" s="20" t="s">
        <v>206</v>
      </c>
      <c r="C7" s="20">
        <v>1630</v>
      </c>
    </row>
    <row r="8" ht="15" spans="1:3">
      <c r="A8" s="20">
        <v>6</v>
      </c>
      <c r="B8" s="20" t="s">
        <v>207</v>
      </c>
      <c r="C8" s="20">
        <v>39.24</v>
      </c>
    </row>
    <row r="9" ht="15" spans="1:3">
      <c r="A9" s="20"/>
      <c r="B9" s="48" t="s">
        <v>208</v>
      </c>
      <c r="C9" s="49">
        <f>SUM(C3:C8)</f>
        <v>3889.97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90"/>
  <sheetViews>
    <sheetView tabSelected="1" topLeftCell="A56" workbookViewId="0">
      <selection activeCell="L81" sqref="L81"/>
    </sheetView>
  </sheetViews>
  <sheetFormatPr defaultColWidth="9" defaultRowHeight="15"/>
  <cols>
    <col min="1" max="2" width="9" style="1"/>
    <col min="3" max="3" width="24.875" style="1" customWidth="1"/>
    <col min="4" max="4" width="15.625" style="1" customWidth="1"/>
    <col min="5" max="5" width="17.5" style="1" customWidth="1"/>
    <col min="6" max="6" width="14.125" style="1" customWidth="1"/>
    <col min="7" max="14" width="12.25" style="1" customWidth="1"/>
    <col min="15" max="15" width="10.875" style="1" customWidth="1"/>
    <col min="16" max="16384" width="9" style="1"/>
  </cols>
  <sheetData>
    <row r="2" ht="33" spans="1:15">
      <c r="F2" s="23" t="s">
        <v>209</v>
      </c>
    </row>
    <row r="3" ht="16.5" spans="1:15">
      <c r="A3" s="24" t="s">
        <v>210</v>
      </c>
      <c r="B3" s="24"/>
      <c r="C3" s="25" t="s">
        <v>9</v>
      </c>
      <c r="D3" s="25" t="s">
        <v>10</v>
      </c>
      <c r="E3" s="25" t="s">
        <v>11</v>
      </c>
      <c r="F3" s="26" t="s">
        <v>211</v>
      </c>
      <c r="G3" s="20" t="s">
        <v>212</v>
      </c>
      <c r="H3" s="27" t="s">
        <v>213</v>
      </c>
      <c r="I3" s="28" t="s">
        <v>214</v>
      </c>
      <c r="J3" s="28" t="s">
        <v>215</v>
      </c>
      <c r="K3" s="28" t="s">
        <v>216</v>
      </c>
      <c r="L3" s="28" t="s">
        <v>217</v>
      </c>
      <c r="M3" s="28" t="s">
        <v>218</v>
      </c>
      <c r="N3" s="28" t="s">
        <v>219</v>
      </c>
      <c r="O3" s="20" t="s">
        <v>220</v>
      </c>
    </row>
    <row r="4" spans="1:15">
      <c r="B4" s="24">
        <v>1</v>
      </c>
      <c r="C4" s="25" t="s">
        <v>13</v>
      </c>
      <c r="D4" s="25" t="s">
        <v>14</v>
      </c>
      <c r="E4" s="25" t="s">
        <v>15</v>
      </c>
      <c r="F4" s="25">
        <v>1</v>
      </c>
      <c r="G4" s="28" t="s">
        <v>221</v>
      </c>
      <c r="H4" s="28">
        <v>5</v>
      </c>
      <c r="I4" s="28">
        <v>0.7688</v>
      </c>
      <c r="J4" s="28">
        <f>H4*I4</f>
        <v>3.844</v>
      </c>
      <c r="K4" s="28"/>
      <c r="L4" s="28"/>
      <c r="M4" s="28"/>
      <c r="N4" s="28">
        <f>H4-F4</f>
        <v>4</v>
      </c>
      <c r="O4" s="20" t="s">
        <v>222</v>
      </c>
    </row>
    <row r="5" spans="1:15">
      <c r="B5" s="24">
        <v>2</v>
      </c>
      <c r="C5" s="25" t="s">
        <v>112</v>
      </c>
      <c r="D5" s="25" t="s">
        <v>113</v>
      </c>
      <c r="E5" s="25" t="s">
        <v>114</v>
      </c>
      <c r="F5" s="25">
        <v>1</v>
      </c>
      <c r="G5" s="28" t="s">
        <v>223</v>
      </c>
      <c r="H5" s="28">
        <v>50</v>
      </c>
      <c r="I5" s="28">
        <v>0.0638</v>
      </c>
      <c r="J5" s="28">
        <f t="shared" ref="J5:J10" si="0">H5*I5</f>
        <v>3.19</v>
      </c>
      <c r="K5" s="28"/>
      <c r="L5" s="28"/>
      <c r="M5" s="28"/>
      <c r="N5" s="28">
        <f t="shared" ref="N5:N36" si="1">H5-F5</f>
        <v>49</v>
      </c>
      <c r="O5" s="20"/>
    </row>
    <row r="6" spans="1:15">
      <c r="B6" s="24">
        <v>3</v>
      </c>
      <c r="C6" s="25" t="s">
        <v>26</v>
      </c>
      <c r="D6" s="25" t="s">
        <v>21</v>
      </c>
      <c r="E6" s="25" t="s">
        <v>22</v>
      </c>
      <c r="F6" s="25">
        <v>7</v>
      </c>
      <c r="G6" s="28" t="s">
        <v>224</v>
      </c>
      <c r="H6" s="28">
        <v>10</v>
      </c>
      <c r="I6" s="28">
        <v>0.8733</v>
      </c>
      <c r="J6" s="28">
        <f t="shared" si="0"/>
        <v>8.733</v>
      </c>
      <c r="K6" s="28"/>
      <c r="L6" s="28"/>
      <c r="M6" s="28"/>
      <c r="N6" s="28">
        <f t="shared" si="1"/>
        <v>3</v>
      </c>
      <c r="O6" s="20"/>
    </row>
    <row r="7" spans="1:15">
      <c r="B7" s="24">
        <v>4</v>
      </c>
      <c r="C7" s="25" t="s">
        <v>32</v>
      </c>
      <c r="D7" s="25" t="s">
        <v>115</v>
      </c>
      <c r="E7" s="25" t="s">
        <v>25</v>
      </c>
      <c r="F7" s="25">
        <v>1</v>
      </c>
      <c r="G7" s="28" t="s">
        <v>225</v>
      </c>
      <c r="H7" s="28">
        <v>5</v>
      </c>
      <c r="I7" s="28">
        <v>0.544</v>
      </c>
      <c r="J7" s="28">
        <f t="shared" si="0"/>
        <v>2.72</v>
      </c>
      <c r="K7" s="28"/>
      <c r="L7" s="28"/>
      <c r="M7" s="28"/>
      <c r="N7" s="28">
        <f t="shared" si="1"/>
        <v>4</v>
      </c>
      <c r="O7" s="20"/>
    </row>
    <row r="8" spans="1:15">
      <c r="B8" s="24">
        <v>5</v>
      </c>
      <c r="C8" s="25" t="s">
        <v>116</v>
      </c>
      <c r="D8" s="25" t="s">
        <v>18</v>
      </c>
      <c r="E8" s="25" t="s">
        <v>28</v>
      </c>
      <c r="F8" s="25">
        <v>7</v>
      </c>
      <c r="G8" s="28" t="s">
        <v>226</v>
      </c>
      <c r="H8" s="28">
        <v>7</v>
      </c>
      <c r="I8" s="28">
        <v>5.19</v>
      </c>
      <c r="J8" s="28">
        <f t="shared" si="0"/>
        <v>36.33</v>
      </c>
      <c r="K8" s="28"/>
      <c r="L8" s="28"/>
      <c r="M8" s="28"/>
      <c r="N8" s="28">
        <f t="shared" si="1"/>
        <v>0</v>
      </c>
      <c r="O8" s="20"/>
    </row>
    <row r="9" spans="1:15">
      <c r="B9" s="24">
        <v>6</v>
      </c>
      <c r="C9" s="25" t="s">
        <v>117</v>
      </c>
      <c r="D9" s="25" t="s">
        <v>118</v>
      </c>
      <c r="E9" s="25" t="s">
        <v>119</v>
      </c>
      <c r="F9" s="25">
        <v>1</v>
      </c>
      <c r="G9" s="28" t="s">
        <v>227</v>
      </c>
      <c r="H9" s="28">
        <v>1</v>
      </c>
      <c r="I9" s="28">
        <v>26.49</v>
      </c>
      <c r="J9" s="28">
        <f t="shared" si="0"/>
        <v>26.49</v>
      </c>
      <c r="K9" s="28"/>
      <c r="L9" s="28"/>
      <c r="M9" s="28"/>
      <c r="N9" s="28">
        <f t="shared" si="1"/>
        <v>0</v>
      </c>
      <c r="O9" s="20"/>
    </row>
    <row r="10" spans="1:15">
      <c r="B10" s="24">
        <v>7</v>
      </c>
      <c r="C10" s="25" t="s">
        <v>120</v>
      </c>
      <c r="D10" s="25" t="s">
        <v>121</v>
      </c>
      <c r="E10" s="25" t="s">
        <v>122</v>
      </c>
      <c r="F10" s="25">
        <v>1</v>
      </c>
      <c r="G10" s="28" t="s">
        <v>228</v>
      </c>
      <c r="H10" s="28">
        <v>1</v>
      </c>
      <c r="I10" s="28">
        <v>10.2</v>
      </c>
      <c r="J10" s="28">
        <f t="shared" si="0"/>
        <v>10.2</v>
      </c>
      <c r="K10" s="28"/>
      <c r="L10" s="28"/>
      <c r="M10" s="28"/>
      <c r="N10" s="28">
        <f t="shared" si="1"/>
        <v>0</v>
      </c>
      <c r="O10" s="20"/>
    </row>
    <row r="11" spans="1:15">
      <c r="B11" s="24">
        <v>8</v>
      </c>
      <c r="C11" s="25" t="s">
        <v>123</v>
      </c>
      <c r="D11" s="29" t="s">
        <v>124</v>
      </c>
      <c r="E11" s="25" t="s">
        <v>125</v>
      </c>
      <c r="F11" s="25">
        <v>1</v>
      </c>
      <c r="G11" s="28" t="s">
        <v>229</v>
      </c>
      <c r="H11" s="28">
        <v>0</v>
      </c>
      <c r="I11" s="28">
        <v>0</v>
      </c>
      <c r="J11" s="28">
        <f t="shared" ref="J11:J42" si="2">H11*I11</f>
        <v>0</v>
      </c>
      <c r="K11" s="28"/>
      <c r="L11" s="28"/>
      <c r="M11" s="28"/>
      <c r="N11" s="28">
        <v>0</v>
      </c>
      <c r="O11" s="20"/>
    </row>
    <row r="12" spans="1:15">
      <c r="B12" s="24">
        <v>9</v>
      </c>
      <c r="C12" s="30" t="s">
        <v>23</v>
      </c>
      <c r="D12" s="29" t="s">
        <v>126</v>
      </c>
      <c r="E12" s="25" t="s">
        <v>127</v>
      </c>
      <c r="F12" s="25">
        <v>1</v>
      </c>
      <c r="G12" s="28"/>
      <c r="H12" s="28">
        <v>0</v>
      </c>
      <c r="I12" s="28">
        <v>0</v>
      </c>
      <c r="J12" s="28">
        <f t="shared" si="2"/>
        <v>0</v>
      </c>
      <c r="K12" s="28">
        <v>3</v>
      </c>
      <c r="L12" s="28">
        <v>2.74</v>
      </c>
      <c r="M12" s="28">
        <f>K12*L12</f>
        <v>8.22</v>
      </c>
      <c r="N12" s="28">
        <v>0</v>
      </c>
      <c r="O12" s="20"/>
    </row>
    <row r="13" spans="1:15">
      <c r="B13" s="24">
        <v>10</v>
      </c>
      <c r="C13" s="25" t="s">
        <v>128</v>
      </c>
      <c r="D13" s="25" t="s">
        <v>129</v>
      </c>
      <c r="E13" s="25" t="s">
        <v>130</v>
      </c>
      <c r="F13" s="25">
        <v>1</v>
      </c>
      <c r="G13" s="28" t="s">
        <v>230</v>
      </c>
      <c r="H13" s="28">
        <v>1</v>
      </c>
      <c r="I13" s="28">
        <v>29.96</v>
      </c>
      <c r="J13" s="28">
        <f t="shared" si="2"/>
        <v>29.96</v>
      </c>
      <c r="K13" s="28"/>
      <c r="L13" s="28"/>
      <c r="M13" s="28"/>
      <c r="N13" s="28">
        <f t="shared" si="1"/>
        <v>0</v>
      </c>
      <c r="O13" s="20"/>
    </row>
    <row r="14" spans="1:15">
      <c r="B14" s="24">
        <v>11</v>
      </c>
      <c r="C14" s="25" t="s">
        <v>131</v>
      </c>
      <c r="D14" s="25" t="s">
        <v>132</v>
      </c>
      <c r="E14" s="25" t="s">
        <v>133</v>
      </c>
      <c r="F14" s="25">
        <v>1</v>
      </c>
      <c r="G14" s="28" t="s">
        <v>231</v>
      </c>
      <c r="H14" s="28">
        <v>5</v>
      </c>
      <c r="I14" s="28">
        <v>1.4578</v>
      </c>
      <c r="J14" s="28">
        <f t="shared" si="2"/>
        <v>7.289</v>
      </c>
      <c r="K14" s="28"/>
      <c r="L14" s="28"/>
      <c r="M14" s="28"/>
      <c r="N14" s="28">
        <f t="shared" si="1"/>
        <v>4</v>
      </c>
      <c r="O14" s="20"/>
    </row>
    <row r="15" spans="1:15">
      <c r="B15" s="24">
        <v>12</v>
      </c>
      <c r="C15" s="25" t="s">
        <v>134</v>
      </c>
      <c r="D15" s="25" t="s">
        <v>135</v>
      </c>
      <c r="E15" s="25" t="s">
        <v>136</v>
      </c>
      <c r="F15" s="25">
        <v>1</v>
      </c>
      <c r="G15" s="28" t="s">
        <v>232</v>
      </c>
      <c r="H15" s="28">
        <v>100</v>
      </c>
      <c r="I15" s="28">
        <v>0.00304</v>
      </c>
      <c r="J15" s="28">
        <f t="shared" si="2"/>
        <v>0.304</v>
      </c>
      <c r="K15" s="28"/>
      <c r="L15" s="28"/>
      <c r="M15" s="28"/>
      <c r="N15" s="28">
        <f t="shared" si="1"/>
        <v>99</v>
      </c>
      <c r="O15" s="20"/>
    </row>
    <row r="16" spans="1:15">
      <c r="B16" s="24">
        <v>13</v>
      </c>
      <c r="C16" s="20" t="s">
        <v>137</v>
      </c>
      <c r="D16" s="20" t="s">
        <v>138</v>
      </c>
      <c r="E16" s="20" t="s">
        <v>136</v>
      </c>
      <c r="F16" s="20">
        <v>2</v>
      </c>
      <c r="G16" s="20" t="s">
        <v>233</v>
      </c>
      <c r="H16" s="28">
        <v>0</v>
      </c>
      <c r="I16" s="28">
        <v>0</v>
      </c>
      <c r="J16" s="28">
        <f t="shared" si="2"/>
        <v>0</v>
      </c>
      <c r="K16" s="28"/>
      <c r="L16" s="28"/>
      <c r="M16" s="28"/>
      <c r="N16" s="28">
        <v>0</v>
      </c>
      <c r="O16" s="20"/>
    </row>
    <row r="17" spans="2:15">
      <c r="B17" s="24">
        <v>14</v>
      </c>
      <c r="C17" s="25" t="s">
        <v>139</v>
      </c>
      <c r="D17" s="25" t="s">
        <v>140</v>
      </c>
      <c r="E17" s="25" t="s">
        <v>136</v>
      </c>
      <c r="F17" s="25">
        <v>3</v>
      </c>
      <c r="G17" s="28" t="s">
        <v>234</v>
      </c>
      <c r="H17" s="28">
        <v>100</v>
      </c>
      <c r="I17" s="28">
        <v>0.0061</v>
      </c>
      <c r="J17" s="28">
        <f t="shared" si="2"/>
        <v>0.61</v>
      </c>
      <c r="K17" s="28"/>
      <c r="L17" s="28"/>
      <c r="M17" s="28"/>
      <c r="N17" s="28">
        <f t="shared" si="1"/>
        <v>97</v>
      </c>
      <c r="O17" s="20"/>
    </row>
    <row r="18" spans="2:15">
      <c r="B18" s="24">
        <v>15</v>
      </c>
      <c r="C18" s="20" t="s">
        <v>141</v>
      </c>
      <c r="D18" s="20" t="s">
        <v>142</v>
      </c>
      <c r="E18" s="20" t="s">
        <v>136</v>
      </c>
      <c r="F18" s="20">
        <v>4</v>
      </c>
      <c r="G18" s="20" t="s">
        <v>233</v>
      </c>
      <c r="H18" s="28">
        <v>0</v>
      </c>
      <c r="I18" s="28">
        <v>0</v>
      </c>
      <c r="J18" s="28">
        <v>0</v>
      </c>
      <c r="K18" s="28"/>
      <c r="L18" s="28"/>
      <c r="M18" s="28"/>
      <c r="N18" s="28">
        <v>0</v>
      </c>
      <c r="O18" s="20"/>
    </row>
    <row r="19" spans="2:15">
      <c r="B19" s="24">
        <v>16</v>
      </c>
      <c r="C19" s="25" t="s">
        <v>143</v>
      </c>
      <c r="D19" s="25" t="s">
        <v>144</v>
      </c>
      <c r="E19" s="25" t="s">
        <v>136</v>
      </c>
      <c r="F19" s="25">
        <v>1</v>
      </c>
      <c r="G19" s="28" t="s">
        <v>235</v>
      </c>
      <c r="H19" s="28">
        <v>100</v>
      </c>
      <c r="I19" s="28">
        <v>0.00323</v>
      </c>
      <c r="J19" s="28">
        <f t="shared" si="2"/>
        <v>0.323</v>
      </c>
      <c r="K19" s="28"/>
      <c r="L19" s="28"/>
      <c r="M19" s="28"/>
      <c r="N19" s="28">
        <f t="shared" si="1"/>
        <v>99</v>
      </c>
      <c r="O19" s="20"/>
    </row>
    <row r="20" spans="2:15">
      <c r="B20" s="24">
        <v>17</v>
      </c>
      <c r="C20" s="25" t="s">
        <v>145</v>
      </c>
      <c r="D20" s="25" t="s">
        <v>146</v>
      </c>
      <c r="E20" s="25" t="s">
        <v>136</v>
      </c>
      <c r="F20" s="25">
        <v>1</v>
      </c>
      <c r="G20" s="28" t="s">
        <v>236</v>
      </c>
      <c r="H20" s="28">
        <v>100</v>
      </c>
      <c r="I20" s="28">
        <v>0.005049</v>
      </c>
      <c r="J20" s="28">
        <f t="shared" si="2"/>
        <v>0.5049</v>
      </c>
      <c r="K20" s="28"/>
      <c r="L20" s="28"/>
      <c r="M20" s="28"/>
      <c r="N20" s="28">
        <f t="shared" si="1"/>
        <v>99</v>
      </c>
      <c r="O20" s="20"/>
    </row>
    <row r="21" spans="2:15">
      <c r="B21" s="24">
        <v>18</v>
      </c>
      <c r="C21" s="30" t="s">
        <v>237</v>
      </c>
      <c r="D21" s="25" t="s">
        <v>44</v>
      </c>
      <c r="E21" s="25" t="s">
        <v>136</v>
      </c>
      <c r="F21" s="25">
        <v>14</v>
      </c>
      <c r="G21" s="28" t="s">
        <v>238</v>
      </c>
      <c r="H21" s="28">
        <v>100</v>
      </c>
      <c r="I21" s="28">
        <v>0.006138</v>
      </c>
      <c r="J21" s="28">
        <f t="shared" si="2"/>
        <v>0.6138</v>
      </c>
      <c r="K21" s="28"/>
      <c r="L21" s="28"/>
      <c r="M21" s="28"/>
      <c r="N21" s="28">
        <f t="shared" si="1"/>
        <v>86</v>
      </c>
      <c r="O21" s="20" t="s">
        <v>239</v>
      </c>
    </row>
    <row r="22" spans="2:15">
      <c r="B22" s="24">
        <v>19</v>
      </c>
      <c r="C22" s="20" t="s">
        <v>148</v>
      </c>
      <c r="D22" s="20" t="s">
        <v>46</v>
      </c>
      <c r="E22" s="20" t="s">
        <v>136</v>
      </c>
      <c r="F22" s="20">
        <v>40</v>
      </c>
      <c r="G22" s="20" t="s">
        <v>233</v>
      </c>
      <c r="H22" s="28">
        <v>0</v>
      </c>
      <c r="I22" s="28">
        <v>0</v>
      </c>
      <c r="J22" s="28">
        <f t="shared" si="2"/>
        <v>0</v>
      </c>
      <c r="K22" s="28"/>
      <c r="L22" s="28"/>
      <c r="M22" s="28"/>
      <c r="N22" s="28">
        <v>0</v>
      </c>
      <c r="O22" s="20"/>
    </row>
    <row r="23" spans="2:15">
      <c r="B23" s="24">
        <v>20</v>
      </c>
      <c r="C23" s="25" t="s">
        <v>149</v>
      </c>
      <c r="D23" s="25" t="s">
        <v>150</v>
      </c>
      <c r="E23" s="25" t="s">
        <v>136</v>
      </c>
      <c r="F23" s="25">
        <v>2</v>
      </c>
      <c r="G23" s="28" t="s">
        <v>240</v>
      </c>
      <c r="H23" s="28">
        <v>100</v>
      </c>
      <c r="I23" s="28">
        <v>0.005544</v>
      </c>
      <c r="J23" s="28">
        <f t="shared" si="2"/>
        <v>0.5544</v>
      </c>
      <c r="K23" s="28"/>
      <c r="L23" s="28"/>
      <c r="M23" s="28"/>
      <c r="N23" s="28">
        <f t="shared" si="1"/>
        <v>98</v>
      </c>
      <c r="O23" s="20"/>
    </row>
    <row r="24" spans="2:15">
      <c r="B24" s="24">
        <v>21</v>
      </c>
      <c r="C24" s="20" t="s">
        <v>151</v>
      </c>
      <c r="D24" s="18" t="s">
        <v>48</v>
      </c>
      <c r="E24" s="20" t="s">
        <v>136</v>
      </c>
      <c r="F24" s="20">
        <v>7</v>
      </c>
      <c r="G24" s="28" t="s">
        <v>229</v>
      </c>
      <c r="H24" s="28">
        <v>0</v>
      </c>
      <c r="I24" s="28">
        <v>0</v>
      </c>
      <c r="J24" s="28">
        <f t="shared" si="2"/>
        <v>0</v>
      </c>
      <c r="K24" s="28"/>
      <c r="L24" s="28"/>
      <c r="M24" s="28"/>
      <c r="N24" s="28">
        <v>0</v>
      </c>
      <c r="O24" s="31" t="s">
        <v>241</v>
      </c>
    </row>
    <row r="25" spans="2:15">
      <c r="B25" s="24">
        <v>22</v>
      </c>
      <c r="C25" s="20" t="s">
        <v>153</v>
      </c>
      <c r="D25" s="20" t="s">
        <v>50</v>
      </c>
      <c r="E25" s="20" t="s">
        <v>136</v>
      </c>
      <c r="F25" s="20">
        <v>29</v>
      </c>
      <c r="G25" s="28" t="s">
        <v>229</v>
      </c>
      <c r="H25" s="28">
        <v>0</v>
      </c>
      <c r="I25" s="28">
        <v>0</v>
      </c>
      <c r="J25" s="28">
        <f t="shared" si="2"/>
        <v>0</v>
      </c>
      <c r="K25" s="28"/>
      <c r="L25" s="28"/>
      <c r="M25" s="28"/>
      <c r="N25" s="28">
        <v>0</v>
      </c>
      <c r="O25" s="31" t="s">
        <v>242</v>
      </c>
    </row>
    <row r="26" spans="2:15">
      <c r="B26" s="24">
        <v>23</v>
      </c>
      <c r="C26" s="20" t="s">
        <v>154</v>
      </c>
      <c r="D26" s="20" t="s">
        <v>155</v>
      </c>
      <c r="E26" s="20" t="s">
        <v>136</v>
      </c>
      <c r="F26" s="20">
        <v>1</v>
      </c>
      <c r="G26" s="28" t="s">
        <v>229</v>
      </c>
      <c r="H26" s="28">
        <v>0</v>
      </c>
      <c r="I26" s="28">
        <v>0</v>
      </c>
      <c r="J26" s="28">
        <f t="shared" si="2"/>
        <v>0</v>
      </c>
      <c r="K26" s="28"/>
      <c r="L26" s="28"/>
      <c r="M26" s="28"/>
      <c r="N26" s="28">
        <v>0</v>
      </c>
      <c r="O26" s="31"/>
    </row>
    <row r="27" spans="2:15">
      <c r="B27" s="24">
        <v>24</v>
      </c>
      <c r="C27" s="25" t="s">
        <v>51</v>
      </c>
      <c r="D27" s="25" t="s">
        <v>52</v>
      </c>
      <c r="E27" s="25" t="s">
        <v>136</v>
      </c>
      <c r="F27" s="25">
        <v>7</v>
      </c>
      <c r="G27" s="28" t="s">
        <v>243</v>
      </c>
      <c r="H27" s="28">
        <v>100</v>
      </c>
      <c r="I27" s="28">
        <v>0.0051</v>
      </c>
      <c r="J27" s="28">
        <f t="shared" si="2"/>
        <v>0.51</v>
      </c>
      <c r="K27" s="28"/>
      <c r="L27" s="28"/>
      <c r="M27" s="28"/>
      <c r="N27" s="28">
        <f t="shared" si="1"/>
        <v>93</v>
      </c>
      <c r="O27" s="20"/>
    </row>
    <row r="28" spans="2:15">
      <c r="B28" s="24">
        <v>25</v>
      </c>
      <c r="C28" s="25" t="s">
        <v>156</v>
      </c>
      <c r="D28" s="25" t="s">
        <v>55</v>
      </c>
      <c r="E28" s="25" t="s">
        <v>136</v>
      </c>
      <c r="F28" s="25">
        <v>18</v>
      </c>
      <c r="G28" s="28" t="s">
        <v>244</v>
      </c>
      <c r="H28" s="28">
        <v>100</v>
      </c>
      <c r="I28" s="28">
        <v>0.0048</v>
      </c>
      <c r="J28" s="28">
        <f t="shared" si="2"/>
        <v>0.48</v>
      </c>
      <c r="K28" s="28"/>
      <c r="L28" s="28"/>
      <c r="M28" s="28"/>
      <c r="N28" s="28">
        <f t="shared" si="1"/>
        <v>82</v>
      </c>
      <c r="O28" s="20"/>
    </row>
    <row r="29" spans="2:15">
      <c r="B29" s="24">
        <v>26</v>
      </c>
      <c r="C29" s="25" t="s">
        <v>158</v>
      </c>
      <c r="D29" s="25" t="s">
        <v>159</v>
      </c>
      <c r="E29" s="25" t="s">
        <v>160</v>
      </c>
      <c r="F29" s="25">
        <v>1</v>
      </c>
      <c r="G29" s="28" t="s">
        <v>245</v>
      </c>
      <c r="H29" s="28">
        <v>5</v>
      </c>
      <c r="I29" s="28">
        <v>0.5853</v>
      </c>
      <c r="J29" s="28">
        <f t="shared" si="2"/>
        <v>2.9265</v>
      </c>
      <c r="K29" s="28"/>
      <c r="L29" s="28"/>
      <c r="M29" s="28"/>
      <c r="N29" s="28">
        <f t="shared" si="1"/>
        <v>4</v>
      </c>
      <c r="O29" s="20"/>
    </row>
    <row r="30" spans="2:15">
      <c r="B30" s="24">
        <v>27</v>
      </c>
      <c r="C30" s="25" t="s">
        <v>161</v>
      </c>
      <c r="D30" s="25" t="s">
        <v>162</v>
      </c>
      <c r="E30" s="25" t="s">
        <v>163</v>
      </c>
      <c r="F30" s="25">
        <v>1</v>
      </c>
      <c r="G30" s="28" t="s">
        <v>246</v>
      </c>
      <c r="H30" s="28">
        <v>10</v>
      </c>
      <c r="I30" s="28">
        <v>0.3649</v>
      </c>
      <c r="J30" s="28">
        <f t="shared" si="2"/>
        <v>3.649</v>
      </c>
      <c r="K30" s="28"/>
      <c r="L30" s="28"/>
      <c r="M30" s="28"/>
      <c r="N30" s="28">
        <f t="shared" si="1"/>
        <v>9</v>
      </c>
      <c r="O30" s="20"/>
    </row>
    <row r="31" spans="2:15">
      <c r="B31" s="24">
        <v>28</v>
      </c>
      <c r="C31" s="25" t="s">
        <v>164</v>
      </c>
      <c r="D31" s="25" t="s">
        <v>165</v>
      </c>
      <c r="E31" s="25" t="s">
        <v>163</v>
      </c>
      <c r="F31" s="25">
        <v>1</v>
      </c>
      <c r="G31" s="28" t="s">
        <v>247</v>
      </c>
      <c r="H31" s="28">
        <v>5</v>
      </c>
      <c r="I31" s="28">
        <v>0.4961</v>
      </c>
      <c r="J31" s="28">
        <f t="shared" si="2"/>
        <v>2.4805</v>
      </c>
      <c r="K31" s="28"/>
      <c r="L31" s="28"/>
      <c r="M31" s="28"/>
      <c r="N31" s="28">
        <f t="shared" si="1"/>
        <v>4</v>
      </c>
      <c r="O31" s="20"/>
    </row>
    <row r="32" spans="2:15">
      <c r="B32" s="24">
        <v>29</v>
      </c>
      <c r="C32" s="25" t="s">
        <v>166</v>
      </c>
      <c r="D32" s="25" t="s">
        <v>60</v>
      </c>
      <c r="E32" s="25" t="s">
        <v>61</v>
      </c>
      <c r="F32" s="25">
        <v>13</v>
      </c>
      <c r="G32" s="28" t="s">
        <v>248</v>
      </c>
      <c r="H32" s="28">
        <v>0</v>
      </c>
      <c r="I32" s="28">
        <v>0</v>
      </c>
      <c r="J32" s="28">
        <v>0</v>
      </c>
      <c r="K32" s="28"/>
      <c r="L32" s="28"/>
      <c r="M32" s="28"/>
      <c r="N32" s="28">
        <v>0</v>
      </c>
      <c r="O32" s="20"/>
    </row>
    <row r="33" spans="2:15">
      <c r="B33" s="24">
        <v>30</v>
      </c>
      <c r="C33" s="25" t="s">
        <v>167</v>
      </c>
      <c r="D33" s="25" t="s">
        <v>168</v>
      </c>
      <c r="E33" s="25" t="s">
        <v>169</v>
      </c>
      <c r="F33" s="25">
        <v>1</v>
      </c>
      <c r="G33" s="28" t="s">
        <v>249</v>
      </c>
      <c r="H33" s="28">
        <v>1</v>
      </c>
      <c r="I33" s="28">
        <v>1.0108</v>
      </c>
      <c r="J33" s="28">
        <f t="shared" si="2"/>
        <v>1.0108</v>
      </c>
      <c r="K33" s="28"/>
      <c r="L33" s="28"/>
      <c r="M33" s="28"/>
      <c r="N33" s="28">
        <f t="shared" si="1"/>
        <v>0</v>
      </c>
      <c r="O33" s="20"/>
    </row>
    <row r="34" spans="2:15">
      <c r="B34" s="24">
        <v>31</v>
      </c>
      <c r="C34" s="25" t="s">
        <v>62</v>
      </c>
      <c r="D34" s="25" t="s">
        <v>63</v>
      </c>
      <c r="E34" s="25" t="s">
        <v>64</v>
      </c>
      <c r="F34" s="25">
        <v>7</v>
      </c>
      <c r="G34" s="28" t="s">
        <v>250</v>
      </c>
      <c r="H34" s="28">
        <v>10</v>
      </c>
      <c r="I34" s="28">
        <v>0.3808</v>
      </c>
      <c r="J34" s="28">
        <f t="shared" si="2"/>
        <v>3.808</v>
      </c>
      <c r="K34" s="28"/>
      <c r="L34" s="28"/>
      <c r="M34" s="28"/>
      <c r="N34" s="28">
        <f t="shared" si="1"/>
        <v>3</v>
      </c>
      <c r="O34" s="20"/>
    </row>
    <row r="35" spans="2:15">
      <c r="B35" s="24">
        <v>32</v>
      </c>
      <c r="C35" s="25" t="s">
        <v>170</v>
      </c>
      <c r="D35" s="25" t="s">
        <v>69</v>
      </c>
      <c r="E35" s="25" t="s">
        <v>70</v>
      </c>
      <c r="F35" s="25">
        <v>14</v>
      </c>
      <c r="G35" s="28" t="s">
        <v>251</v>
      </c>
      <c r="H35" s="28">
        <v>15</v>
      </c>
      <c r="I35" s="28">
        <v>0.0597</v>
      </c>
      <c r="J35" s="28">
        <f t="shared" si="2"/>
        <v>0.8955</v>
      </c>
      <c r="K35" s="28"/>
      <c r="L35" s="28"/>
      <c r="M35" s="28"/>
      <c r="N35" s="28">
        <f t="shared" si="1"/>
        <v>1</v>
      </c>
      <c r="O35" s="20"/>
    </row>
    <row r="36" spans="2:15">
      <c r="B36" s="24">
        <v>33</v>
      </c>
      <c r="C36" s="25" t="s">
        <v>171</v>
      </c>
      <c r="D36" s="25" t="s">
        <v>72</v>
      </c>
      <c r="E36" s="25" t="s">
        <v>73</v>
      </c>
      <c r="F36" s="25">
        <v>7</v>
      </c>
      <c r="G36" s="28" t="s">
        <v>252</v>
      </c>
      <c r="H36" s="28">
        <v>10</v>
      </c>
      <c r="I36" s="28">
        <v>0.3189</v>
      </c>
      <c r="J36" s="28">
        <f t="shared" si="2"/>
        <v>3.189</v>
      </c>
      <c r="K36" s="28"/>
      <c r="L36" s="28"/>
      <c r="M36" s="28"/>
      <c r="N36" s="28">
        <f t="shared" si="1"/>
        <v>3</v>
      </c>
      <c r="O36" s="20"/>
    </row>
    <row r="37" spans="2:15">
      <c r="B37" s="24">
        <v>34</v>
      </c>
      <c r="C37" s="25" t="s">
        <v>71</v>
      </c>
      <c r="D37" s="25" t="s">
        <v>75</v>
      </c>
      <c r="E37" s="25" t="s">
        <v>76</v>
      </c>
      <c r="F37" s="25">
        <v>7</v>
      </c>
      <c r="G37" s="28" t="s">
        <v>253</v>
      </c>
      <c r="H37" s="28">
        <v>10</v>
      </c>
      <c r="I37" s="28">
        <v>0.2764</v>
      </c>
      <c r="J37" s="28">
        <f t="shared" si="2"/>
        <v>2.764</v>
      </c>
      <c r="K37" s="28"/>
      <c r="L37" s="28"/>
      <c r="M37" s="28"/>
      <c r="N37" s="28">
        <f t="shared" ref="N37:N68" si="3">H37-F37</f>
        <v>3</v>
      </c>
      <c r="O37" s="20"/>
    </row>
    <row r="38" spans="2:15">
      <c r="B38" s="24">
        <v>35</v>
      </c>
      <c r="C38" s="25" t="s">
        <v>172</v>
      </c>
      <c r="D38" s="25" t="s">
        <v>173</v>
      </c>
      <c r="E38" s="25" t="s">
        <v>79</v>
      </c>
      <c r="F38" s="25">
        <v>1</v>
      </c>
      <c r="G38" s="28" t="s">
        <v>254</v>
      </c>
      <c r="H38" s="28">
        <v>100</v>
      </c>
      <c r="I38" s="28">
        <v>0.008118</v>
      </c>
      <c r="J38" s="28">
        <f t="shared" si="2"/>
        <v>0.8118</v>
      </c>
      <c r="K38" s="28"/>
      <c r="L38" s="28"/>
      <c r="M38" s="28"/>
      <c r="N38" s="28">
        <f t="shared" si="3"/>
        <v>99</v>
      </c>
      <c r="O38" s="20"/>
    </row>
    <row r="39" spans="2:15">
      <c r="B39" s="24">
        <v>36</v>
      </c>
      <c r="C39" s="25" t="s">
        <v>174</v>
      </c>
      <c r="D39" s="25" t="s">
        <v>78</v>
      </c>
      <c r="E39" s="25" t="s">
        <v>79</v>
      </c>
      <c r="F39" s="25">
        <v>14</v>
      </c>
      <c r="G39" s="28" t="s">
        <v>255</v>
      </c>
      <c r="H39" s="28">
        <v>100</v>
      </c>
      <c r="I39" s="28">
        <v>0.0068</v>
      </c>
      <c r="J39" s="28">
        <f t="shared" si="2"/>
        <v>0.68</v>
      </c>
      <c r="K39" s="28"/>
      <c r="L39" s="28"/>
      <c r="M39" s="28"/>
      <c r="N39" s="28">
        <f t="shared" si="3"/>
        <v>86</v>
      </c>
      <c r="O39" s="20"/>
    </row>
    <row r="40" spans="2:15">
      <c r="B40" s="24">
        <v>37</v>
      </c>
      <c r="C40" s="25" t="s">
        <v>175</v>
      </c>
      <c r="D40" s="25" t="s">
        <v>176</v>
      </c>
      <c r="E40" s="25" t="s">
        <v>79</v>
      </c>
      <c r="F40" s="25">
        <v>1</v>
      </c>
      <c r="G40" s="28" t="s">
        <v>256</v>
      </c>
      <c r="H40" s="28">
        <v>100</v>
      </c>
      <c r="I40" s="28">
        <v>0.0076</v>
      </c>
      <c r="J40" s="28">
        <f t="shared" si="2"/>
        <v>0.76</v>
      </c>
      <c r="K40" s="28"/>
      <c r="L40" s="28"/>
      <c r="M40" s="28"/>
      <c r="N40" s="28">
        <f t="shared" si="3"/>
        <v>99</v>
      </c>
      <c r="O40" s="20"/>
    </row>
    <row r="41" spans="2:15">
      <c r="B41" s="24">
        <v>38</v>
      </c>
      <c r="C41" s="1" t="s">
        <v>177</v>
      </c>
      <c r="D41" s="1" t="s">
        <v>178</v>
      </c>
      <c r="E41" s="1" t="s">
        <v>79</v>
      </c>
      <c r="F41" s="1">
        <v>1</v>
      </c>
      <c r="G41" s="28" t="s">
        <v>229</v>
      </c>
      <c r="H41" s="28">
        <v>0</v>
      </c>
      <c r="I41" s="28">
        <v>0</v>
      </c>
      <c r="J41" s="28">
        <v>0</v>
      </c>
      <c r="K41" s="28"/>
      <c r="L41" s="28"/>
      <c r="M41" s="28"/>
      <c r="N41" s="28">
        <v>0</v>
      </c>
      <c r="O41" s="20"/>
    </row>
    <row r="42" spans="2:15">
      <c r="B42" s="24">
        <v>39</v>
      </c>
      <c r="C42" s="25" t="s">
        <v>179</v>
      </c>
      <c r="D42" s="25" t="s">
        <v>81</v>
      </c>
      <c r="E42" s="25" t="s">
        <v>79</v>
      </c>
      <c r="F42" s="25">
        <v>37</v>
      </c>
      <c r="G42" s="28" t="s">
        <v>257</v>
      </c>
      <c r="H42" s="28">
        <v>50</v>
      </c>
      <c r="I42" s="28">
        <v>0.0439</v>
      </c>
      <c r="J42" s="28">
        <f t="shared" si="2"/>
        <v>2.195</v>
      </c>
      <c r="K42" s="28"/>
      <c r="L42" s="28"/>
      <c r="M42" s="28"/>
      <c r="N42" s="28">
        <f t="shared" si="3"/>
        <v>13</v>
      </c>
      <c r="O42" s="20"/>
    </row>
    <row r="43" spans="2:15">
      <c r="B43" s="24">
        <v>40</v>
      </c>
      <c r="C43" s="25" t="s">
        <v>180</v>
      </c>
      <c r="D43" s="25" t="s">
        <v>181</v>
      </c>
      <c r="E43" s="25" t="s">
        <v>79</v>
      </c>
      <c r="F43" s="25">
        <v>1</v>
      </c>
      <c r="G43" s="28" t="s">
        <v>258</v>
      </c>
      <c r="H43" s="28">
        <v>100</v>
      </c>
      <c r="I43" s="28">
        <v>0.0065</v>
      </c>
      <c r="J43" s="28">
        <f t="shared" ref="J43:J68" si="4">H43*I43</f>
        <v>0.65</v>
      </c>
      <c r="K43" s="28"/>
      <c r="L43" s="28"/>
      <c r="M43" s="28"/>
      <c r="N43" s="28">
        <f t="shared" si="3"/>
        <v>99</v>
      </c>
      <c r="O43" s="20"/>
    </row>
    <row r="44" spans="2:15">
      <c r="B44" s="24">
        <v>41</v>
      </c>
      <c r="C44" s="25" t="s">
        <v>86</v>
      </c>
      <c r="D44" s="25" t="s">
        <v>83</v>
      </c>
      <c r="E44" s="25" t="s">
        <v>79</v>
      </c>
      <c r="F44" s="25">
        <v>7</v>
      </c>
      <c r="G44" s="28" t="s">
        <v>259</v>
      </c>
      <c r="H44" s="28">
        <v>100</v>
      </c>
      <c r="I44" s="28">
        <v>0.00513</v>
      </c>
      <c r="J44" s="28">
        <f t="shared" si="4"/>
        <v>0.513</v>
      </c>
      <c r="K44" s="28"/>
      <c r="L44" s="28"/>
      <c r="M44" s="28"/>
      <c r="N44" s="28">
        <f t="shared" si="3"/>
        <v>93</v>
      </c>
      <c r="O44" s="20"/>
    </row>
    <row r="45" ht="45" spans="2:15">
      <c r="B45" s="24">
        <v>42</v>
      </c>
      <c r="C45" s="26" t="s">
        <v>182</v>
      </c>
      <c r="D45" s="25" t="s">
        <v>85</v>
      </c>
      <c r="E45" s="25" t="s">
        <v>79</v>
      </c>
      <c r="F45" s="25">
        <v>126</v>
      </c>
      <c r="G45" s="28" t="s">
        <v>260</v>
      </c>
      <c r="H45" s="28">
        <v>200</v>
      </c>
      <c r="I45" s="28">
        <v>0.005225</v>
      </c>
      <c r="J45" s="28">
        <f t="shared" si="4"/>
        <v>1.045</v>
      </c>
      <c r="K45" s="28"/>
      <c r="L45" s="28"/>
      <c r="M45" s="28"/>
      <c r="N45" s="28">
        <f t="shared" si="3"/>
        <v>74</v>
      </c>
      <c r="O45" s="20"/>
    </row>
    <row r="46" spans="2:15">
      <c r="B46" s="24">
        <v>43</v>
      </c>
      <c r="C46" s="25" t="s">
        <v>183</v>
      </c>
      <c r="D46" s="25" t="s">
        <v>87</v>
      </c>
      <c r="E46" s="25" t="s">
        <v>88</v>
      </c>
      <c r="F46" s="25">
        <v>10</v>
      </c>
      <c r="G46" s="32" t="s">
        <v>261</v>
      </c>
      <c r="H46" s="28">
        <v>20</v>
      </c>
      <c r="I46" s="28">
        <v>0.2035</v>
      </c>
      <c r="J46" s="28">
        <f t="shared" si="4"/>
        <v>4.07</v>
      </c>
      <c r="K46" s="28"/>
      <c r="L46" s="28"/>
      <c r="M46" s="28"/>
      <c r="N46" s="28">
        <f t="shared" si="3"/>
        <v>10</v>
      </c>
      <c r="O46" s="20"/>
    </row>
    <row r="47" spans="2:15">
      <c r="B47" s="24">
        <v>44</v>
      </c>
      <c r="C47" s="25" t="s">
        <v>82</v>
      </c>
      <c r="D47" s="25" t="s">
        <v>184</v>
      </c>
      <c r="E47" s="25" t="s">
        <v>185</v>
      </c>
      <c r="F47" s="25">
        <v>1</v>
      </c>
      <c r="G47" s="28" t="s">
        <v>262</v>
      </c>
      <c r="H47" s="28">
        <v>50</v>
      </c>
      <c r="I47" s="28">
        <v>0.0776</v>
      </c>
      <c r="J47" s="28">
        <f t="shared" si="4"/>
        <v>3.88</v>
      </c>
      <c r="K47" s="28"/>
      <c r="L47" s="28"/>
      <c r="M47" s="28"/>
      <c r="N47" s="28">
        <f t="shared" si="3"/>
        <v>49</v>
      </c>
      <c r="O47" s="20"/>
    </row>
    <row r="48" spans="2:15">
      <c r="B48" s="24">
        <v>45</v>
      </c>
      <c r="C48" s="25" t="s">
        <v>186</v>
      </c>
      <c r="D48" s="25" t="s">
        <v>187</v>
      </c>
      <c r="E48" s="25" t="s">
        <v>185</v>
      </c>
      <c r="F48" s="25">
        <v>3</v>
      </c>
      <c r="G48" s="28" t="s">
        <v>263</v>
      </c>
      <c r="H48" s="28">
        <v>10</v>
      </c>
      <c r="I48" s="28">
        <v>0.2345</v>
      </c>
      <c r="J48" s="28">
        <f t="shared" si="4"/>
        <v>2.345</v>
      </c>
      <c r="K48" s="28"/>
      <c r="L48" s="28"/>
      <c r="M48" s="28"/>
      <c r="N48" s="28">
        <f t="shared" si="3"/>
        <v>7</v>
      </c>
      <c r="O48" s="20"/>
    </row>
    <row r="49" spans="1:15">
      <c r="B49" s="24">
        <v>46</v>
      </c>
      <c r="C49" s="25" t="s">
        <v>188</v>
      </c>
      <c r="D49" s="25" t="s">
        <v>189</v>
      </c>
      <c r="E49" s="25" t="s">
        <v>190</v>
      </c>
      <c r="F49" s="25">
        <v>1</v>
      </c>
      <c r="G49" s="28" t="s">
        <v>264</v>
      </c>
      <c r="H49" s="28">
        <v>1</v>
      </c>
      <c r="I49" s="28">
        <v>2.54</v>
      </c>
      <c r="J49" s="28">
        <f t="shared" si="4"/>
        <v>2.54</v>
      </c>
      <c r="K49" s="28"/>
      <c r="L49" s="28"/>
      <c r="M49" s="28"/>
      <c r="N49" s="28">
        <f t="shared" si="3"/>
        <v>0</v>
      </c>
      <c r="O49" s="20"/>
    </row>
    <row r="50" spans="1:15">
      <c r="B50" s="24">
        <v>47</v>
      </c>
      <c r="C50" s="25" t="s">
        <v>191</v>
      </c>
      <c r="D50" s="25" t="s">
        <v>191</v>
      </c>
      <c r="E50" s="25" t="s">
        <v>191</v>
      </c>
      <c r="F50" s="25">
        <v>1</v>
      </c>
      <c r="G50" s="28" t="s">
        <v>265</v>
      </c>
      <c r="H50" s="28">
        <v>0</v>
      </c>
      <c r="I50" s="28">
        <v>0</v>
      </c>
      <c r="J50" s="28">
        <v>0</v>
      </c>
      <c r="K50" s="28">
        <v>2</v>
      </c>
      <c r="L50" s="28">
        <v>7</v>
      </c>
      <c r="M50" s="28">
        <f>K50*L50</f>
        <v>14</v>
      </c>
      <c r="N50" s="28">
        <v>1</v>
      </c>
      <c r="O50" s="20"/>
    </row>
    <row r="51" spans="1:15">
      <c r="B51" s="24">
        <v>48</v>
      </c>
      <c r="C51" s="25" t="s">
        <v>192</v>
      </c>
      <c r="D51" s="25" t="s">
        <v>93</v>
      </c>
      <c r="E51" s="25" t="s">
        <v>193</v>
      </c>
      <c r="F51" s="25">
        <v>1</v>
      </c>
      <c r="G51" s="28" t="s">
        <v>266</v>
      </c>
      <c r="H51" s="28">
        <v>10</v>
      </c>
      <c r="I51" s="28">
        <v>0.4153</v>
      </c>
      <c r="J51" s="28">
        <f t="shared" si="4"/>
        <v>4.153</v>
      </c>
      <c r="K51" s="28"/>
      <c r="L51" s="28"/>
      <c r="M51" s="28"/>
      <c r="N51" s="28">
        <f t="shared" si="3"/>
        <v>9</v>
      </c>
      <c r="O51" s="20"/>
    </row>
    <row r="52" spans="1:15">
      <c r="B52" s="24">
        <v>49</v>
      </c>
      <c r="C52" s="25" t="s">
        <v>194</v>
      </c>
      <c r="D52" s="25" t="s">
        <v>93</v>
      </c>
      <c r="E52" s="25" t="s">
        <v>94</v>
      </c>
      <c r="F52" s="25">
        <v>19</v>
      </c>
      <c r="G52" s="28" t="s">
        <v>266</v>
      </c>
      <c r="H52" s="28">
        <v>20</v>
      </c>
      <c r="I52" s="28">
        <v>0.4242</v>
      </c>
      <c r="J52" s="28">
        <f t="shared" si="4"/>
        <v>8.484</v>
      </c>
      <c r="K52" s="28"/>
      <c r="L52" s="28"/>
      <c r="M52" s="28"/>
      <c r="N52" s="28">
        <f t="shared" si="3"/>
        <v>1</v>
      </c>
      <c r="O52" s="20"/>
    </row>
    <row r="53" spans="1:15">
      <c r="B53" s="24">
        <v>50</v>
      </c>
      <c r="C53" s="25" t="s">
        <v>195</v>
      </c>
      <c r="D53" s="25" t="s">
        <v>196</v>
      </c>
      <c r="E53" s="25" t="s">
        <v>197</v>
      </c>
      <c r="F53" s="25">
        <v>1</v>
      </c>
      <c r="G53" s="28" t="s">
        <v>267</v>
      </c>
      <c r="H53" s="28">
        <v>20</v>
      </c>
      <c r="I53" s="28">
        <v>0.2197</v>
      </c>
      <c r="J53" s="28">
        <f t="shared" si="4"/>
        <v>4.394</v>
      </c>
      <c r="K53" s="28"/>
      <c r="L53" s="28"/>
      <c r="M53" s="28"/>
      <c r="N53" s="28">
        <f t="shared" si="3"/>
        <v>19</v>
      </c>
      <c r="O53" s="20"/>
    </row>
    <row r="54" spans="1:15">
      <c r="B54" s="24">
        <v>51</v>
      </c>
      <c r="C54" s="25" t="s">
        <v>198</v>
      </c>
      <c r="D54" s="25" t="s">
        <v>199</v>
      </c>
      <c r="E54" s="25" t="s">
        <v>199</v>
      </c>
      <c r="F54" s="25">
        <v>1</v>
      </c>
      <c r="G54" s="28" t="s">
        <v>268</v>
      </c>
      <c r="H54" s="28">
        <v>5</v>
      </c>
      <c r="I54" s="28">
        <v>1.84965</v>
      </c>
      <c r="J54" s="28">
        <f t="shared" si="4"/>
        <v>9.24825</v>
      </c>
      <c r="K54" s="28"/>
      <c r="L54" s="28"/>
      <c r="M54" s="28"/>
      <c r="N54" s="28">
        <f t="shared" si="3"/>
        <v>4</v>
      </c>
      <c r="O54" s="20"/>
    </row>
    <row r="55" spans="1:15">
      <c r="A55" s="33" t="s">
        <v>269</v>
      </c>
      <c r="B55" s="33">
        <v>52</v>
      </c>
      <c r="C55" s="25" t="s">
        <v>13</v>
      </c>
      <c r="D55" s="25" t="s">
        <v>14</v>
      </c>
      <c r="E55" s="25" t="s">
        <v>15</v>
      </c>
      <c r="F55" s="25">
        <v>6</v>
      </c>
      <c r="G55" s="28" t="s">
        <v>270</v>
      </c>
      <c r="H55" s="28">
        <v>10</v>
      </c>
      <c r="I55" s="28">
        <v>0.396312</v>
      </c>
      <c r="J55" s="28">
        <f t="shared" si="4"/>
        <v>3.96312</v>
      </c>
      <c r="K55" s="28"/>
      <c r="L55" s="28"/>
      <c r="M55" s="28"/>
      <c r="N55" s="28">
        <f t="shared" si="3"/>
        <v>4</v>
      </c>
      <c r="O55" s="20" t="s">
        <v>271</v>
      </c>
    </row>
    <row r="56" spans="1:15">
      <c r="B56" s="33">
        <v>53</v>
      </c>
      <c r="C56" s="25" t="s">
        <v>23</v>
      </c>
      <c r="D56" s="25" t="s">
        <v>24</v>
      </c>
      <c r="E56" s="25" t="s">
        <v>25</v>
      </c>
      <c r="F56" s="25">
        <v>6</v>
      </c>
      <c r="G56" s="28" t="s">
        <v>272</v>
      </c>
      <c r="H56" s="28">
        <v>10</v>
      </c>
      <c r="I56" s="28">
        <v>0.6631</v>
      </c>
      <c r="J56" s="28">
        <f t="shared" si="4"/>
        <v>6.631</v>
      </c>
      <c r="K56" s="28"/>
      <c r="L56" s="28"/>
      <c r="M56" s="28"/>
      <c r="N56" s="28">
        <f t="shared" si="3"/>
        <v>4</v>
      </c>
      <c r="O56" s="20"/>
    </row>
    <row r="57" spans="1:15">
      <c r="B57" s="33">
        <v>54</v>
      </c>
      <c r="C57" s="25" t="s">
        <v>26</v>
      </c>
      <c r="D57" s="25" t="s">
        <v>27</v>
      </c>
      <c r="E57" s="25" t="s">
        <v>28</v>
      </c>
      <c r="F57" s="25">
        <v>6</v>
      </c>
      <c r="G57" s="28" t="s">
        <v>273</v>
      </c>
      <c r="H57" s="28">
        <v>6</v>
      </c>
      <c r="I57" s="28">
        <v>9.67</v>
      </c>
      <c r="J57" s="28">
        <f t="shared" si="4"/>
        <v>58.02</v>
      </c>
      <c r="K57" s="28"/>
      <c r="L57" s="28"/>
      <c r="M57" s="28"/>
      <c r="N57" s="28">
        <f t="shared" si="3"/>
        <v>0</v>
      </c>
      <c r="O57" s="20"/>
    </row>
    <row r="58" spans="1:15">
      <c r="B58" s="33">
        <v>55</v>
      </c>
      <c r="C58" s="25" t="s">
        <v>29</v>
      </c>
      <c r="D58" s="25" t="s">
        <v>30</v>
      </c>
      <c r="E58" s="25" t="s">
        <v>31</v>
      </c>
      <c r="F58" s="25">
        <v>12</v>
      </c>
      <c r="G58" s="34" t="s">
        <v>274</v>
      </c>
      <c r="H58" s="28">
        <v>12</v>
      </c>
      <c r="I58" s="28">
        <v>3.42</v>
      </c>
      <c r="J58" s="28">
        <f t="shared" si="4"/>
        <v>41.04</v>
      </c>
      <c r="K58" s="28"/>
      <c r="L58" s="28"/>
      <c r="M58" s="28"/>
      <c r="N58" s="28">
        <f t="shared" si="3"/>
        <v>0</v>
      </c>
      <c r="O58" s="20"/>
    </row>
    <row r="59" spans="1:15">
      <c r="B59" s="33">
        <v>56</v>
      </c>
      <c r="C59" s="25" t="s">
        <v>32</v>
      </c>
      <c r="D59" s="25" t="s">
        <v>33</v>
      </c>
      <c r="E59" s="25" t="s">
        <v>34</v>
      </c>
      <c r="F59" s="25">
        <v>6</v>
      </c>
      <c r="G59" s="28" t="s">
        <v>275</v>
      </c>
      <c r="H59" s="28">
        <v>6</v>
      </c>
      <c r="I59" s="28">
        <v>13.82</v>
      </c>
      <c r="J59" s="28">
        <f t="shared" si="4"/>
        <v>82.92</v>
      </c>
      <c r="K59" s="28"/>
      <c r="L59" s="28"/>
      <c r="M59" s="28"/>
      <c r="N59" s="28">
        <f t="shared" si="3"/>
        <v>0</v>
      </c>
      <c r="O59" s="20"/>
    </row>
    <row r="60" spans="1:15">
      <c r="B60" s="33">
        <v>57</v>
      </c>
      <c r="C60" s="25" t="s">
        <v>35</v>
      </c>
      <c r="D60" s="25" t="s">
        <v>36</v>
      </c>
      <c r="E60" s="25" t="s">
        <v>37</v>
      </c>
      <c r="F60" s="25">
        <v>6</v>
      </c>
      <c r="G60" s="28" t="s">
        <v>276</v>
      </c>
      <c r="H60" s="28">
        <v>6</v>
      </c>
      <c r="I60" s="28">
        <v>2.831</v>
      </c>
      <c r="J60" s="28">
        <f t="shared" si="4"/>
        <v>16.986</v>
      </c>
      <c r="K60" s="28"/>
      <c r="L60" s="28"/>
      <c r="M60" s="28"/>
      <c r="N60" s="28">
        <f t="shared" si="3"/>
        <v>0</v>
      </c>
      <c r="O60" s="20"/>
    </row>
    <row r="61" spans="1:15">
      <c r="B61" s="33">
        <v>58</v>
      </c>
      <c r="C61" s="25" t="s">
        <v>38</v>
      </c>
      <c r="D61" s="25" t="s">
        <v>39</v>
      </c>
      <c r="E61" s="25" t="s">
        <v>40</v>
      </c>
      <c r="F61" s="25">
        <v>6</v>
      </c>
      <c r="G61" s="28" t="s">
        <v>277</v>
      </c>
      <c r="H61" s="28">
        <v>50</v>
      </c>
      <c r="I61" s="28">
        <v>0.0674</v>
      </c>
      <c r="J61" s="28">
        <f t="shared" si="4"/>
        <v>3.37</v>
      </c>
      <c r="K61" s="28"/>
      <c r="L61" s="28"/>
      <c r="M61" s="28"/>
      <c r="N61" s="28">
        <f t="shared" si="3"/>
        <v>44</v>
      </c>
      <c r="O61" s="20"/>
    </row>
    <row r="62" spans="1:15">
      <c r="B62" s="33">
        <v>59</v>
      </c>
      <c r="C62" s="25" t="s">
        <v>41</v>
      </c>
      <c r="D62" s="25" t="s">
        <v>42</v>
      </c>
      <c r="E62" s="25" t="s">
        <v>40</v>
      </c>
      <c r="F62" s="25">
        <v>6</v>
      </c>
      <c r="G62" s="28" t="s">
        <v>278</v>
      </c>
      <c r="H62" s="28">
        <v>100</v>
      </c>
      <c r="I62" s="28">
        <v>0.005445</v>
      </c>
      <c r="J62" s="28">
        <f t="shared" si="4"/>
        <v>0.5445</v>
      </c>
      <c r="K62" s="28"/>
      <c r="L62" s="28"/>
      <c r="M62" s="28"/>
      <c r="N62" s="28">
        <f t="shared" si="3"/>
        <v>94</v>
      </c>
      <c r="O62" s="20"/>
    </row>
    <row r="63" spans="1:15">
      <c r="B63" s="33">
        <v>60</v>
      </c>
      <c r="C63" s="25" t="s">
        <v>47</v>
      </c>
      <c r="D63" s="25" t="s">
        <v>48</v>
      </c>
      <c r="E63" s="25" t="s">
        <v>40</v>
      </c>
      <c r="F63" s="25">
        <v>6</v>
      </c>
      <c r="G63" s="28" t="s">
        <v>279</v>
      </c>
      <c r="H63" s="28">
        <v>100</v>
      </c>
      <c r="I63" s="28">
        <v>0.00315</v>
      </c>
      <c r="J63" s="28">
        <f t="shared" si="4"/>
        <v>0.315</v>
      </c>
      <c r="K63" s="28"/>
      <c r="L63" s="28"/>
      <c r="M63" s="28"/>
      <c r="N63" s="28">
        <f t="shared" si="3"/>
        <v>94</v>
      </c>
      <c r="O63" s="20"/>
    </row>
    <row r="64" spans="1:15">
      <c r="B64" s="33">
        <v>61</v>
      </c>
      <c r="C64" s="25" t="s">
        <v>57</v>
      </c>
      <c r="D64" s="25" t="s">
        <v>58</v>
      </c>
      <c r="E64" s="25" t="s">
        <v>56</v>
      </c>
      <c r="F64" s="25">
        <v>12</v>
      </c>
      <c r="G64" s="28" t="s">
        <v>280</v>
      </c>
      <c r="H64" s="28">
        <v>50</v>
      </c>
      <c r="I64" s="28">
        <v>0.045837</v>
      </c>
      <c r="J64" s="28">
        <f t="shared" si="4"/>
        <v>2.29185</v>
      </c>
      <c r="K64" s="28"/>
      <c r="L64" s="28"/>
      <c r="M64" s="28"/>
      <c r="N64" s="28">
        <f t="shared" si="3"/>
        <v>38</v>
      </c>
      <c r="O64" s="20"/>
    </row>
    <row r="65" spans="1:15">
      <c r="B65" s="33">
        <v>62</v>
      </c>
      <c r="C65" s="25" t="s">
        <v>65</v>
      </c>
      <c r="D65" s="25" t="s">
        <v>66</v>
      </c>
      <c r="E65" s="25" t="s">
        <v>67</v>
      </c>
      <c r="F65" s="25">
        <v>12</v>
      </c>
      <c r="G65" s="28" t="s">
        <v>281</v>
      </c>
      <c r="H65" s="28">
        <v>20</v>
      </c>
      <c r="I65" s="28">
        <v>0.423415</v>
      </c>
      <c r="J65" s="28">
        <f t="shared" si="4"/>
        <v>8.4683</v>
      </c>
      <c r="K65" s="28"/>
      <c r="L65" s="28"/>
      <c r="M65" s="28"/>
      <c r="N65" s="28">
        <f t="shared" si="3"/>
        <v>8</v>
      </c>
      <c r="O65" s="20"/>
    </row>
    <row r="66" spans="1:15">
      <c r="B66" s="33">
        <v>63</v>
      </c>
      <c r="C66" s="25" t="s">
        <v>111</v>
      </c>
      <c r="D66" s="25" t="s">
        <v>90</v>
      </c>
      <c r="E66" s="25" t="s">
        <v>91</v>
      </c>
      <c r="F66" s="25">
        <v>36</v>
      </c>
      <c r="G66" s="28" t="s">
        <v>282</v>
      </c>
      <c r="H66" s="28">
        <v>40</v>
      </c>
      <c r="I66" s="28">
        <v>0.2316</v>
      </c>
      <c r="J66" s="28">
        <f t="shared" si="4"/>
        <v>9.264</v>
      </c>
      <c r="K66" s="28"/>
      <c r="L66" s="28"/>
      <c r="M66" s="28"/>
      <c r="N66" s="28">
        <f t="shared" si="3"/>
        <v>4</v>
      </c>
      <c r="O66" s="20"/>
    </row>
    <row r="67" spans="1:15">
      <c r="A67" s="35"/>
      <c r="B67" s="33">
        <v>64</v>
      </c>
      <c r="C67" s="26" t="s">
        <v>54</v>
      </c>
      <c r="D67" s="26" t="s">
        <v>55</v>
      </c>
      <c r="E67" s="1" t="s">
        <v>56</v>
      </c>
      <c r="F67" s="26">
        <v>6</v>
      </c>
      <c r="G67" s="36" t="s">
        <v>283</v>
      </c>
      <c r="H67" s="28">
        <v>10</v>
      </c>
      <c r="I67" s="28">
        <v>0.29</v>
      </c>
      <c r="J67" s="28">
        <f t="shared" si="4"/>
        <v>2.9</v>
      </c>
      <c r="K67" s="28"/>
      <c r="L67" s="28"/>
      <c r="M67" s="28"/>
      <c r="N67" s="28">
        <f t="shared" si="3"/>
        <v>4</v>
      </c>
      <c r="O67" s="20"/>
    </row>
    <row r="68" ht="30" spans="1:15">
      <c r="A68" s="37" t="s">
        <v>284</v>
      </c>
      <c r="B68" s="37">
        <v>65</v>
      </c>
      <c r="C68" s="26" t="s">
        <v>285</v>
      </c>
      <c r="D68" s="26" t="s">
        <v>286</v>
      </c>
      <c r="E68" s="38">
        <v>5050</v>
      </c>
      <c r="F68" s="26">
        <v>12</v>
      </c>
      <c r="G68" s="26" t="s">
        <v>287</v>
      </c>
      <c r="H68" s="28">
        <v>15</v>
      </c>
      <c r="I68" s="28">
        <v>0.6</v>
      </c>
      <c r="J68" s="28">
        <f t="shared" si="4"/>
        <v>9</v>
      </c>
      <c r="K68" s="28"/>
      <c r="L68" s="28"/>
      <c r="M68" s="28"/>
      <c r="N68" s="28">
        <f t="shared" si="3"/>
        <v>3</v>
      </c>
      <c r="O68" s="20"/>
    </row>
    <row r="69" spans="1:15">
      <c r="J69" s="1">
        <f>SUM(J4:J68)</f>
        <v>444.86222</v>
      </c>
      <c r="M69" s="1">
        <f>SUM(M4:M68)</f>
        <v>22.22</v>
      </c>
    </row>
    <row r="70" spans="1:15">
      <c r="L70" s="2" t="s">
        <v>288</v>
      </c>
      <c r="M70" s="2">
        <f>J69+M69</f>
        <v>467.08222</v>
      </c>
    </row>
    <row r="75" spans="1:15">
      <c r="B75" s="39"/>
      <c r="C75" s="40" t="s">
        <v>127</v>
      </c>
      <c r="D75" s="3" t="s">
        <v>289</v>
      </c>
    </row>
    <row r="76" spans="1:15">
      <c r="B76" s="41"/>
      <c r="C76" s="40" t="s">
        <v>191</v>
      </c>
      <c r="D76" s="3" t="s">
        <v>290</v>
      </c>
    </row>
    <row r="80" spans="1:15">
      <c r="A80" s="42" t="s">
        <v>95</v>
      </c>
    </row>
    <row r="81" ht="72" customHeight="1" spans="1:7">
      <c r="A81" s="43" t="s">
        <v>291</v>
      </c>
      <c r="B81" s="44"/>
      <c r="C81" s="44"/>
      <c r="D81" s="44"/>
      <c r="E81" s="44"/>
      <c r="F81" s="44"/>
      <c r="G81" s="44"/>
    </row>
    <row r="83" spans="1:7">
      <c r="A83" s="18"/>
      <c r="B83" s="45" t="s">
        <v>97</v>
      </c>
      <c r="C83" s="46"/>
      <c r="D83" s="47"/>
      <c r="E83" s="45" t="s">
        <v>98</v>
      </c>
      <c r="F83" s="46"/>
      <c r="G83" s="47"/>
    </row>
    <row r="84" spans="1:7">
      <c r="A84" s="18" t="s">
        <v>99</v>
      </c>
      <c r="B84" s="18" t="s">
        <v>100</v>
      </c>
      <c r="C84" s="18" t="s">
        <v>101</v>
      </c>
      <c r="D84" s="18" t="s">
        <v>102</v>
      </c>
      <c r="E84" s="18" t="s">
        <v>100</v>
      </c>
      <c r="F84" s="18" t="s">
        <v>101</v>
      </c>
      <c r="G84" s="18" t="s">
        <v>102</v>
      </c>
    </row>
    <row r="85" spans="1:7">
      <c r="A85" s="20">
        <v>1</v>
      </c>
      <c r="B85" s="20" t="s">
        <v>103</v>
      </c>
      <c r="C85" s="20" t="s">
        <v>103</v>
      </c>
      <c r="D85" s="20" t="s">
        <v>103</v>
      </c>
      <c r="E85" s="20" t="s">
        <v>103</v>
      </c>
      <c r="F85" s="20" t="s">
        <v>103</v>
      </c>
      <c r="G85" s="20" t="s">
        <v>103</v>
      </c>
    </row>
    <row r="86" spans="1:7">
      <c r="A86" s="20">
        <v>2</v>
      </c>
      <c r="B86" s="20" t="s">
        <v>103</v>
      </c>
      <c r="C86" s="20" t="s">
        <v>103</v>
      </c>
      <c r="D86" s="20" t="s">
        <v>103</v>
      </c>
      <c r="E86" s="20" t="s">
        <v>103</v>
      </c>
      <c r="F86" s="20" t="s">
        <v>103</v>
      </c>
      <c r="G86" s="20" t="s">
        <v>103</v>
      </c>
    </row>
    <row r="87" spans="1:7">
      <c r="A87" s="20">
        <v>3</v>
      </c>
      <c r="B87" s="18" t="s">
        <v>104</v>
      </c>
      <c r="C87" s="18" t="s">
        <v>105</v>
      </c>
      <c r="D87" s="20" t="s">
        <v>105</v>
      </c>
      <c r="E87" s="31" t="s">
        <v>106</v>
      </c>
      <c r="F87" s="31" t="s">
        <v>106</v>
      </c>
      <c r="G87" s="31" t="s">
        <v>106</v>
      </c>
    </row>
    <row r="88" spans="1:7">
      <c r="A88" s="20">
        <v>4</v>
      </c>
      <c r="B88" s="18" t="s">
        <v>105</v>
      </c>
      <c r="C88" s="18" t="s">
        <v>104</v>
      </c>
      <c r="D88" s="20" t="s">
        <v>104</v>
      </c>
      <c r="E88" s="31" t="s">
        <v>106</v>
      </c>
      <c r="F88" s="31" t="s">
        <v>106</v>
      </c>
      <c r="G88" s="31" t="s">
        <v>106</v>
      </c>
    </row>
    <row r="89" spans="1:7">
      <c r="A89" s="20">
        <v>5</v>
      </c>
      <c r="B89" s="20" t="s">
        <v>106</v>
      </c>
      <c r="C89" s="20" t="s">
        <v>106</v>
      </c>
      <c r="D89" s="20" t="s">
        <v>106</v>
      </c>
      <c r="E89" s="31" t="s">
        <v>105</v>
      </c>
      <c r="F89" s="31" t="s">
        <v>105</v>
      </c>
      <c r="G89" s="31" t="s">
        <v>105</v>
      </c>
    </row>
    <row r="90" spans="1:7">
      <c r="A90" s="20">
        <v>6</v>
      </c>
      <c r="B90" s="20" t="s">
        <v>106</v>
      </c>
      <c r="C90" s="20" t="s">
        <v>106</v>
      </c>
      <c r="D90" s="20" t="s">
        <v>106</v>
      </c>
      <c r="E90" s="31" t="s">
        <v>104</v>
      </c>
      <c r="F90" s="31" t="s">
        <v>104</v>
      </c>
      <c r="G90" s="31" t="s">
        <v>104</v>
      </c>
    </row>
  </sheetData>
  <mergeCells count="3">
    <mergeCell ref="A81:G81"/>
    <mergeCell ref="B83:D83"/>
    <mergeCell ref="E83:G83"/>
  </mergeCells>
  <hyperlinks>
    <hyperlink ref="D76" r:id="rId1" display="0.78寸OLED液晶显示屏128x80驱动SH1107接口IIC/SPI白光4针模块-淘宝网" tooltip="https://item.taobao.com/item.htm?id=789310228166&amp;mi_id=0000O7y0b_LBTOGWorb2SxQV9a53sQ6S3uWDSvzrqWR4N6Y&amp;spm=tbpc.boughtlist.suborder_itempic.d789310228166.34622e8docpNPw"/>
    <hyperlink ref="D75" r:id="rId2" display="迷你版 NRF24L01 无线模块 功率加强版 2.4G无线收发模块-淘宝网" tooltip="https://item.taobao.com/item.htm?id=40352572949&amp;mi_id=0000FysT0kUQjsmHyN0hdIQBSUBdTQ5s-gd8SRW7_LJPiFw&amp;spm=tbpc.boughtlist.suborder_itempic.d40352572949.34622e8docpNPw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11"/>
  <sheetViews>
    <sheetView zoomScale="85" zoomScaleNormal="85" workbookViewId="0">
      <selection activeCell="I35" sqref="I35"/>
    </sheetView>
  </sheetViews>
  <sheetFormatPr defaultColWidth="9" defaultRowHeight="15" outlineLevelCol="4"/>
  <cols>
    <col min="1" max="4" width="9" style="1"/>
    <col min="5" max="5" width="12.5" style="1" customWidth="1"/>
    <col min="6" max="16384" width="9" style="1"/>
  </cols>
  <sheetData>
    <row r="5" spans="2:5">
      <c r="B5" s="16" t="s">
        <v>292</v>
      </c>
      <c r="C5" s="17"/>
      <c r="D5" s="17"/>
      <c r="E5" s="17"/>
    </row>
    <row r="6" spans="2:5">
      <c r="B6" s="18"/>
      <c r="C6" s="18" t="s">
        <v>293</v>
      </c>
      <c r="D6" s="18" t="s">
        <v>294</v>
      </c>
      <c r="E6" s="18" t="s">
        <v>295</v>
      </c>
    </row>
    <row r="7" ht="16.5" spans="2:5">
      <c r="B7" s="18">
        <v>1</v>
      </c>
      <c r="C7" s="20" t="s">
        <v>296</v>
      </c>
      <c r="D7" s="20">
        <v>5</v>
      </c>
      <c r="E7" s="20">
        <v>57.24</v>
      </c>
    </row>
    <row r="8" ht="16.5" spans="2:5">
      <c r="B8" s="18">
        <v>2</v>
      </c>
      <c r="C8" s="20" t="s">
        <v>297</v>
      </c>
      <c r="D8" s="20">
        <v>5</v>
      </c>
      <c r="E8" s="20">
        <v>35.64</v>
      </c>
    </row>
    <row r="9" ht="16.5" spans="2:5">
      <c r="B9" s="18">
        <v>3</v>
      </c>
      <c r="C9" s="20" t="s">
        <v>298</v>
      </c>
      <c r="D9" s="20">
        <v>5</v>
      </c>
      <c r="E9" s="20">
        <v>35.64</v>
      </c>
    </row>
    <row r="10" spans="2:5">
      <c r="B10" s="18">
        <v>4</v>
      </c>
      <c r="C10" s="20" t="s">
        <v>299</v>
      </c>
      <c r="D10" s="20">
        <v>5</v>
      </c>
      <c r="E10" s="20">
        <v>24.84</v>
      </c>
    </row>
    <row r="11" spans="2:5">
      <c r="B11" s="18"/>
      <c r="C11" s="18" t="s">
        <v>300</v>
      </c>
      <c r="D11" s="18"/>
      <c r="E11" s="18">
        <f>SUM(E7:E10)</f>
        <v>153.36</v>
      </c>
    </row>
  </sheetData>
  <mergeCells count="1">
    <mergeCell ref="B5:E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3"/>
  <sheetViews>
    <sheetView zoomScale="115" zoomScaleNormal="115" workbookViewId="0">
      <selection activeCell="E20" sqref="E20"/>
    </sheetView>
  </sheetViews>
  <sheetFormatPr defaultColWidth="9" defaultRowHeight="13.5" outlineLevelCol="5"/>
  <cols>
    <col min="3" max="3" width="11.5" customWidth="1"/>
  </cols>
  <sheetData>
    <row r="4" ht="15" spans="2:6">
      <c r="B4" s="16" t="s">
        <v>301</v>
      </c>
      <c r="C4" s="17"/>
      <c r="D4" s="17"/>
      <c r="E4" s="17"/>
      <c r="F4" s="17"/>
    </row>
    <row r="5" ht="15" spans="2:6">
      <c r="B5" s="18"/>
      <c r="C5" s="18" t="s">
        <v>293</v>
      </c>
      <c r="D5" s="18" t="s">
        <v>294</v>
      </c>
      <c r="E5" s="19" t="s">
        <v>302</v>
      </c>
      <c r="F5" s="18" t="s">
        <v>295</v>
      </c>
    </row>
    <row r="6" ht="15" spans="2:6">
      <c r="B6" s="18">
        <v>1</v>
      </c>
      <c r="C6" s="20" t="s">
        <v>303</v>
      </c>
      <c r="D6" s="20">
        <v>3</v>
      </c>
      <c r="E6" s="20">
        <v>2.32</v>
      </c>
      <c r="F6" s="20">
        <f>E6*D6</f>
        <v>6.96</v>
      </c>
    </row>
    <row r="7" ht="15" spans="2:6">
      <c r="B7" s="18">
        <v>2</v>
      </c>
      <c r="C7" s="20" t="s">
        <v>304</v>
      </c>
      <c r="D7" s="20">
        <v>3</v>
      </c>
      <c r="E7" s="20">
        <v>2.96</v>
      </c>
      <c r="F7" s="20">
        <f>E7*D7</f>
        <v>8.88</v>
      </c>
    </row>
    <row r="8" ht="15" spans="2:6">
      <c r="B8" s="18">
        <v>3</v>
      </c>
      <c r="C8" s="20" t="s">
        <v>305</v>
      </c>
      <c r="D8" s="20">
        <v>3</v>
      </c>
      <c r="E8" s="20">
        <v>2.49</v>
      </c>
      <c r="F8" s="20">
        <f>E8*D8</f>
        <v>7.47</v>
      </c>
    </row>
    <row r="9" ht="15" spans="2:6">
      <c r="B9" s="18">
        <v>4</v>
      </c>
      <c r="C9" s="20" t="s">
        <v>306</v>
      </c>
      <c r="D9" s="20">
        <v>3</v>
      </c>
      <c r="E9" s="20">
        <v>3.64</v>
      </c>
      <c r="F9" s="20">
        <f>E9*D9</f>
        <v>10.92</v>
      </c>
    </row>
    <row r="10" ht="15" spans="2:6">
      <c r="B10" s="18">
        <v>5</v>
      </c>
      <c r="C10" s="21" t="s">
        <v>307</v>
      </c>
      <c r="D10" s="20"/>
      <c r="E10" s="20"/>
      <c r="F10" s="20">
        <v>8.14</v>
      </c>
    </row>
    <row r="11" ht="15" spans="2:6">
      <c r="B11" s="18"/>
      <c r="C11" s="18" t="s">
        <v>300</v>
      </c>
      <c r="D11" s="18"/>
      <c r="E11" s="18"/>
      <c r="F11" s="18">
        <f>SUM(F6:F10)</f>
        <v>42.37</v>
      </c>
    </row>
    <row r="13" ht="15" spans="2:6">
      <c r="B13" s="22" t="s">
        <v>308</v>
      </c>
    </row>
  </sheetData>
  <mergeCells count="1">
    <mergeCell ref="B4:F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H12"/>
  <sheetViews>
    <sheetView workbookViewId="0">
      <selection activeCell="E12" sqref="E12"/>
    </sheetView>
  </sheetViews>
  <sheetFormatPr defaultColWidth="9" defaultRowHeight="15" outlineLevelCol="7"/>
  <cols>
    <col min="1" max="3" width="9" style="1"/>
    <col min="4" max="4" width="18.125" style="1" customWidth="1"/>
    <col min="5" max="5" width="11.375" style="1" customWidth="1"/>
    <col min="6" max="16384" width="9" style="1"/>
  </cols>
  <sheetData>
    <row r="5" ht="16.5" spans="3:8">
      <c r="C5" s="13" t="s">
        <v>309</v>
      </c>
      <c r="D5" s="13"/>
      <c r="E5" s="13"/>
    </row>
    <row r="6" ht="16.5" spans="3:8">
      <c r="C6" s="14"/>
      <c r="D6" s="14" t="s">
        <v>200</v>
      </c>
      <c r="E6" s="14" t="s">
        <v>201</v>
      </c>
    </row>
    <row r="7" ht="16.5" spans="3:8">
      <c r="C7" s="14">
        <v>1</v>
      </c>
      <c r="D7" s="14" t="s">
        <v>310</v>
      </c>
      <c r="E7" s="14">
        <v>1435</v>
      </c>
    </row>
    <row r="8" ht="16.5" spans="3:8">
      <c r="C8" s="14">
        <v>2</v>
      </c>
      <c r="D8" s="14" t="s">
        <v>311</v>
      </c>
      <c r="E8" s="14">
        <v>123</v>
      </c>
    </row>
    <row r="9" ht="16.5" spans="3:8">
      <c r="C9" s="8"/>
      <c r="D9" s="8" t="s">
        <v>208</v>
      </c>
      <c r="E9" s="15">
        <f>E7+E8</f>
        <v>1558</v>
      </c>
    </row>
    <row r="12" spans="3:8">
      <c r="H12" s="6"/>
    </row>
  </sheetData>
  <mergeCells count="1">
    <mergeCell ref="C5:E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2"/>
  <sheetViews>
    <sheetView workbookViewId="0">
      <selection activeCell="G29" sqref="G29"/>
    </sheetView>
  </sheetViews>
  <sheetFormatPr defaultColWidth="9" defaultRowHeight="15" outlineLevelCol="7"/>
  <cols>
    <col min="1" max="1" width="9" style="1"/>
    <col min="2" max="2" width="13.875" style="1" customWidth="1"/>
    <col min="3" max="3" width="23.25" style="1" customWidth="1"/>
    <col min="4" max="4" width="8.75" style="1" customWidth="1"/>
    <col min="5" max="5" width="9" style="1"/>
    <col min="6" max="6" width="9.25" style="1"/>
    <col min="7" max="7" width="85.125" style="1" customWidth="1"/>
    <col min="8" max="8" width="66.375" style="1" customWidth="1"/>
    <col min="9" max="9" width="9.25" style="1" customWidth="1"/>
    <col min="10" max="16384" width="9" style="1"/>
  </cols>
  <sheetData>
    <row r="3" spans="1:8">
      <c r="B3" s="2" t="s">
        <v>293</v>
      </c>
      <c r="C3" s="2" t="s">
        <v>312</v>
      </c>
      <c r="D3" s="2" t="s">
        <v>294</v>
      </c>
      <c r="E3" s="2" t="s">
        <v>313</v>
      </c>
      <c r="F3" s="2" t="s">
        <v>300</v>
      </c>
      <c r="G3" s="2" t="s">
        <v>314</v>
      </c>
      <c r="H3" s="2" t="s">
        <v>315</v>
      </c>
    </row>
    <row r="4" ht="16.5" spans="1:8">
      <c r="A4" s="1">
        <v>1</v>
      </c>
      <c r="B4" s="1" t="s">
        <v>316</v>
      </c>
      <c r="C4" s="5" t="s">
        <v>317</v>
      </c>
      <c r="D4" s="1">
        <v>3</v>
      </c>
      <c r="E4" s="1">
        <v>35</v>
      </c>
      <c r="F4" s="6">
        <f t="shared" ref="F4:F12" si="0">D4*E4</f>
        <v>105</v>
      </c>
      <c r="G4" s="7" t="s">
        <v>318</v>
      </c>
      <c r="H4" s="8" t="s">
        <v>319</v>
      </c>
    </row>
    <row r="5" ht="33" spans="1:8">
      <c r="A5" s="1">
        <v>2</v>
      </c>
      <c r="B5" s="1" t="s">
        <v>320</v>
      </c>
      <c r="C5" s="1" t="s">
        <v>321</v>
      </c>
      <c r="D5" s="1">
        <v>1</v>
      </c>
      <c r="E5" s="1">
        <v>24.6</v>
      </c>
      <c r="F5" s="6">
        <f t="shared" si="0"/>
        <v>24.6</v>
      </c>
      <c r="G5" s="3" t="s">
        <v>322</v>
      </c>
      <c r="H5" s="9" t="s">
        <v>323</v>
      </c>
    </row>
    <row r="6" ht="16.5" spans="1:8">
      <c r="A6" s="1">
        <v>3</v>
      </c>
      <c r="B6" s="1" t="s">
        <v>320</v>
      </c>
      <c r="C6" s="1" t="s">
        <v>324</v>
      </c>
      <c r="D6" s="1">
        <v>1</v>
      </c>
      <c r="E6" s="1">
        <v>29.99</v>
      </c>
      <c r="F6" s="6">
        <f t="shared" si="0"/>
        <v>29.99</v>
      </c>
      <c r="G6" s="3" t="s">
        <v>325</v>
      </c>
      <c r="H6" s="6" t="s">
        <v>326</v>
      </c>
    </row>
    <row r="7" ht="16.5" spans="1:8">
      <c r="A7" s="1">
        <v>4</v>
      </c>
      <c r="B7" s="1" t="s">
        <v>320</v>
      </c>
      <c r="C7" s="1" t="s">
        <v>327</v>
      </c>
      <c r="D7" s="1">
        <v>1</v>
      </c>
      <c r="E7" s="1">
        <v>25</v>
      </c>
      <c r="F7" s="6">
        <f t="shared" si="0"/>
        <v>25</v>
      </c>
      <c r="G7" s="3" t="s">
        <v>325</v>
      </c>
      <c r="H7" s="1" t="s">
        <v>328</v>
      </c>
    </row>
    <row r="8" ht="30" spans="1:8">
      <c r="A8" s="1">
        <v>5</v>
      </c>
      <c r="B8" s="1" t="s">
        <v>329</v>
      </c>
      <c r="C8" s="1" t="s">
        <v>330</v>
      </c>
      <c r="D8" s="1">
        <v>4</v>
      </c>
      <c r="E8" s="1">
        <v>260</v>
      </c>
      <c r="F8" s="6">
        <f t="shared" si="0"/>
        <v>1040</v>
      </c>
      <c r="G8" s="7" t="s">
        <v>331</v>
      </c>
      <c r="H8" s="10" t="s">
        <v>332</v>
      </c>
    </row>
    <row r="9" ht="16.5" spans="1:8">
      <c r="A9" s="1">
        <v>6</v>
      </c>
      <c r="B9" s="1" t="s">
        <v>329</v>
      </c>
      <c r="C9" s="1" t="s">
        <v>333</v>
      </c>
      <c r="D9" s="1">
        <v>1</v>
      </c>
      <c r="E9" s="1">
        <v>300</v>
      </c>
      <c r="F9" s="6">
        <f t="shared" si="0"/>
        <v>300</v>
      </c>
      <c r="G9" s="7" t="s">
        <v>331</v>
      </c>
    </row>
    <row r="10" ht="16.5" spans="1:8">
      <c r="A10" s="1">
        <v>7</v>
      </c>
      <c r="B10" s="1" t="s">
        <v>334</v>
      </c>
      <c r="C10" s="1" t="s">
        <v>335</v>
      </c>
      <c r="D10" s="1">
        <v>6</v>
      </c>
      <c r="E10" s="1">
        <v>2.91</v>
      </c>
      <c r="F10" s="1">
        <f t="shared" si="0"/>
        <v>17.46</v>
      </c>
      <c r="G10" s="3" t="s">
        <v>336</v>
      </c>
    </row>
    <row r="11" ht="16.5" spans="1:8">
      <c r="A11" s="1">
        <v>8</v>
      </c>
      <c r="B11" s="1" t="s">
        <v>337</v>
      </c>
      <c r="C11" s="1" t="s">
        <v>338</v>
      </c>
      <c r="D11" s="1">
        <v>1</v>
      </c>
      <c r="E11" s="1">
        <v>4.47</v>
      </c>
      <c r="F11" s="1">
        <f t="shared" si="0"/>
        <v>4.47</v>
      </c>
      <c r="G11" s="3" t="s">
        <v>339</v>
      </c>
      <c r="H11" s="1" t="s">
        <v>340</v>
      </c>
    </row>
    <row r="12" ht="16.5" spans="1:8">
      <c r="A12" s="1">
        <v>9</v>
      </c>
      <c r="B12" s="1" t="s">
        <v>337</v>
      </c>
      <c r="C12" s="1" t="s">
        <v>341</v>
      </c>
      <c r="D12" s="1">
        <v>2</v>
      </c>
      <c r="E12" s="1">
        <v>4.58</v>
      </c>
      <c r="F12" s="1">
        <f t="shared" si="0"/>
        <v>9.16</v>
      </c>
      <c r="G12" s="3" t="s">
        <v>339</v>
      </c>
      <c r="H12" s="1" t="s">
        <v>342</v>
      </c>
    </row>
    <row r="13" ht="49.5" spans="1:8">
      <c r="A13" s="1">
        <v>10</v>
      </c>
      <c r="B13" s="11" t="s">
        <v>343</v>
      </c>
      <c r="C13" s="1" t="s">
        <v>344</v>
      </c>
      <c r="D13" s="12">
        <v>8</v>
      </c>
      <c r="F13" s="1">
        <v>7.34</v>
      </c>
      <c r="G13" s="1" t="s">
        <v>345</v>
      </c>
      <c r="H13" s="9" t="s">
        <v>346</v>
      </c>
    </row>
    <row r="14" ht="17.25" spans="1:8">
      <c r="A14" s="1">
        <v>11</v>
      </c>
      <c r="B14" s="11" t="s">
        <v>343</v>
      </c>
      <c r="C14" s="1" t="s">
        <v>347</v>
      </c>
      <c r="D14" s="1">
        <v>6</v>
      </c>
      <c r="E14" s="1">
        <v>0.77</v>
      </c>
      <c r="F14" s="1">
        <f t="shared" ref="F14:F19" si="1">D14*E14</f>
        <v>4.62</v>
      </c>
      <c r="G14" s="3" t="s">
        <v>348</v>
      </c>
      <c r="H14" s="10"/>
    </row>
    <row r="15" ht="17.25" spans="1:8">
      <c r="A15" s="1">
        <v>12</v>
      </c>
      <c r="B15" s="5" t="s">
        <v>349</v>
      </c>
      <c r="C15" s="5" t="s">
        <v>350</v>
      </c>
      <c r="D15" s="5">
        <v>1</v>
      </c>
      <c r="E15" s="1">
        <v>4.8</v>
      </c>
      <c r="F15" s="1">
        <f t="shared" si="1"/>
        <v>4.8</v>
      </c>
      <c r="G15" s="3" t="s">
        <v>351</v>
      </c>
    </row>
    <row r="16" ht="17.25" spans="1:8">
      <c r="A16" s="1">
        <v>13</v>
      </c>
      <c r="B16" s="5" t="s">
        <v>352</v>
      </c>
      <c r="C16" s="5" t="s">
        <v>353</v>
      </c>
      <c r="D16" s="5">
        <v>1</v>
      </c>
      <c r="E16" s="1">
        <v>2.7</v>
      </c>
      <c r="F16" s="1">
        <f t="shared" si="1"/>
        <v>2.7</v>
      </c>
      <c r="G16" s="7" t="s">
        <v>354</v>
      </c>
    </row>
    <row r="17" ht="17.25" spans="1:7">
      <c r="A17" s="1">
        <v>14</v>
      </c>
      <c r="B17" s="5" t="s">
        <v>355</v>
      </c>
      <c r="C17" s="5" t="s">
        <v>356</v>
      </c>
      <c r="D17" s="5">
        <v>1</v>
      </c>
      <c r="E17" s="1">
        <v>31</v>
      </c>
      <c r="F17" s="1">
        <f t="shared" si="1"/>
        <v>31</v>
      </c>
      <c r="G17" s="3" t="s">
        <v>357</v>
      </c>
    </row>
    <row r="18" ht="16.5" spans="1:7">
      <c r="A18" s="1">
        <v>15</v>
      </c>
      <c r="B18" s="1" t="s">
        <v>358</v>
      </c>
      <c r="C18" s="1" t="s">
        <v>359</v>
      </c>
      <c r="D18" s="1">
        <v>1</v>
      </c>
      <c r="E18" s="1">
        <v>8.4</v>
      </c>
      <c r="F18" s="1">
        <f t="shared" si="1"/>
        <v>8.4</v>
      </c>
      <c r="G18" s="3" t="s">
        <v>360</v>
      </c>
    </row>
    <row r="19" ht="16.5" spans="1:7">
      <c r="A19" s="1">
        <v>16</v>
      </c>
      <c r="B19" s="1" t="s">
        <v>361</v>
      </c>
      <c r="C19" s="1" t="s">
        <v>362</v>
      </c>
      <c r="D19" s="1">
        <v>6</v>
      </c>
      <c r="E19" s="1">
        <v>0.7</v>
      </c>
      <c r="F19" s="1">
        <f t="shared" si="1"/>
        <v>4.2</v>
      </c>
      <c r="G19" s="3" t="s">
        <v>363</v>
      </c>
    </row>
    <row r="20" ht="16.5" spans="1:7">
      <c r="A20" s="1">
        <v>17</v>
      </c>
      <c r="B20" s="1" t="s">
        <v>364</v>
      </c>
      <c r="C20" s="1" t="s">
        <v>365</v>
      </c>
      <c r="D20" s="1">
        <v>10</v>
      </c>
      <c r="E20" s="1">
        <v>0.88</v>
      </c>
      <c r="F20" s="1">
        <v>8.8</v>
      </c>
      <c r="G20" s="7" t="s">
        <v>366</v>
      </c>
    </row>
    <row r="21" ht="16.5" spans="1:7">
      <c r="A21" s="1">
        <v>18</v>
      </c>
      <c r="B21" s="1" t="s">
        <v>367</v>
      </c>
      <c r="C21" s="1" t="s">
        <v>368</v>
      </c>
      <c r="D21" s="1">
        <v>10</v>
      </c>
      <c r="E21" s="1">
        <v>0.264</v>
      </c>
      <c r="F21" s="1">
        <v>2.64</v>
      </c>
      <c r="G21" s="7" t="s">
        <v>369</v>
      </c>
    </row>
    <row r="22" spans="1:7">
      <c r="A22" s="6" t="s">
        <v>300</v>
      </c>
      <c r="F22" s="6">
        <f>SUM(F4:F21)</f>
        <v>1630.18</v>
      </c>
    </row>
  </sheetData>
  <hyperlinks>
    <hyperlink ref="G6" r:id="rId1" display="35步进电机带磁柱孔马达两相四线雕刻机写字机闭环加装3D打印配件-淘宝网" tooltip="https://item.taobao.com/item.htm?id=723690490192&amp;mi_id=0000T40bxGcJp0pi5UlZdPjijdYeT7A0kuq_JM_SHz2EhYI&amp;spm=tbpc.boughtlist.suborder_itemtitle.1.7d272e8d0x9Xzu"/>
    <hyperlink ref="G7" r:id="rId2" display="35步进电机带磁柱孔马达两相四线雕刻机写字机闭环加装3D打印配件-淘宝网" tooltip="https://item.taobao.com/item.htm?id=919770674722&amp;mi_id=0000WpwCrskAJAiISEGBO9s7k3C3-w2WslccOUS7Dh-FtJI&amp;spm=tbpc.boughtlist.suborder_itempic.d919770674722.7d272e8d0x9Xzu"/>
    <hyperlink ref="G5" r:id="rId3" display="35步进电机微型小电机身长28mm力矩12Ncm四线单双轴35byg步进马达-淘宝网" tooltip="https://item.taobao.com/item.htm?id=15168111895&amp;mi_id=0000XWuzuvANJX-JZIpu0B-grtuCxMlZXLDK2qILffjXUto&amp;spm=tbpc.boughtlist.suborder_itempic.d15168111895.7d272e8d0x9Xzu"/>
    <hyperlink ref="G4" r:id="rId4" display="https://item.taobao.com/item.htm?id=549501040122&amp;mi_id=0000BKZm8Kkl4DfCgLk--S0zKDyvYQ2x4-MOus_QTMDz5H4&amp;spm=tbpc.boughtlist.suborder_itempic.d549501040122.7d272e8d0x9Xzu" tooltip="https://item.taobao.com/item.htm?id=549501040122&amp;mi_id=0000BKZm8Kkl4DfCgLk--S0zKDyvYQ2x4-MOus_QTMDz5H4&amp;spm=tbpc.boughtlist.suborder_itempic.d549501040122.7d272e8d0x9Xzu"/>
    <hyperlink ref="G8" r:id="rId5" display="https://item.taobao.com/item.htm?id=902846205607&amp;mi_id=00006xRajiwW0RE3tr5dTLZJMXzkLeJzecdbgl-_MsJu_9U&amp;spm=tbpc.boughtlist.suborder_itempic.d902846205607.7d272e8d0x9Xzu" tooltip="https://item.taobao.com/item.htm?id=902846205607&amp;mi_id=00006xRajiwW0RE3tr5dTLZJMXzkLeJzecdbgl-_MsJu_9U&amp;spm=tbpc.boughtlist.suborder_itempic.d902846205607.7d272e8d0x9Xzu"/>
    <hyperlink ref="G9" r:id="rId5" display="https://item.taobao.com/item.htm?id=902846205607&amp;mi_id=00006xRajiwW0RE3tr5dTLZJMXzkLeJzecdbgl-_MsJu_9U&amp;spm=tbpc.boughtlist.suborder_itempic.d902846205607.7d272e8d0x9Xzu" tooltip="https://item.taobao.com/item.htm?id=902846205607&amp;mi_id=00006xRajiwW0RE3tr5dTLZJMXzkLeJzecdbgl-_MsJu_9U&amp;spm=tbpc.boughtlist.suborder_itempic.d902846205607.7d272e8d0x9Xzu"/>
    <hyperlink ref="G11" r:id="rId6" display="3D打印机2GT环形闭口闭环同步带 橡胶传动皮带gt2 周长110-1524mm-淘宝网" tooltip="https://item.taobao.com/item.htm?id=626759355655&amp;mi_id=0000vUa8fJc6npmo9dwRGFmKiPtOnTICaO7QEm9pBDyEU-g&amp;spm=tbpc.boughtlist.suborder_itempic.d626759355655.28a92e8dg2wSpu&amp;sku_properties=148226461:3629053"/>
    <hyperlink ref="G12" r:id="rId6" display="3D打印机2GT环形闭口闭环同步带 橡胶传动皮带gt2 周长110-1524mm-淘宝网" tooltip="https://item.taobao.com/item.htm?id=626759355655&amp;mi_id=0000vUa8fJc6npmo9dwRGFmKiPtOnTICaO7QEm9pBDyEU-g&amp;spm=tbpc.boughtlist.suborder_itempic.d626759355655.28a92e8dg2wSpu&amp;sku_properties=148226461:3629053"/>
    <hyperlink ref="G10" r:id="rId7" display="2gt同步轮 电机皮带轮同步带从动轮 3d打印机配件16-40齿带宽6mm-淘宝网" tooltip="https://item.taobao.com/item.htm?id=625483500699&amp;mi_id=0000i1AvM3_DEkppvhFM-jb1hgX8vYkwNfh8hENjHpLHR04&amp;spm=tbpc.boughtlist.suborder_itempic.d625483500699.28a92e8dg2wSpu"/>
    <hyperlink ref="G13" r:id="rId8" display="连接线 ZH1.5mm电子线 2P/3/4/5/6Pin 5-30cm 单头/双头同向/反向-淘宝网" tooltip="https://item.taobao.com/item.htm?id=944567579547&amp;mi_id=0000eeTehWItf27s70RvRCRruGYYCViaa_LfJejl5rtX-i4&amp;spm=tbpc.boughtlist.suborder_itempic.d944567579547.28a92e8dg2wSpu"/>
    <hyperlink ref="G19" r:id="rId9" display="N52圆形径向充磁钕铁硼强力磁铁圆柱侧面充磁强磁吸铁石特殊充磁-淘宝网" tooltip="https://item.taobao.com/item.htm?id=958611899677&amp;mi_id=0000OWPRr5x8sTb07B1CIWNUGIUIWditk455eWw4LwQ7tlM&amp;spm=tbpc.boughtlist.suborder_itempic.d958611899677.28a92e8dg2wSpu"/>
    <hyperlink ref="G17" r:id="rId10" display="原装爱普生 24V6A电源适配器 24V6A 5A4A通用监控显示器24V8A电源-淘宝网" tooltip="https://item.taobao.com/item.htm?id=552809889509&amp;mi_id=0000GwfPDqdtnESNjxobH_heSs1dfuiLFCiX5-DAiqwHPL0&amp;spm=tbpc.boughtlist.suborder_itempic.d552809889509.28a92e8dg2wSpu"/>
    <hyperlink ref="G15" r:id="rId11" display="金属按钮12/16/19/22mm带灯5V12V24V220V不锈钢点动自锁复位开关-淘宝网" tooltip="https://item.taobao.com/item.htm?id=589544046782&amp;mi_id=0000DK-BlIIILHUMMvZTRoX0g2zYKroQz-OHLkxJcC0EfEk&amp;spm=tbpc.boughtlist.suborder_itempic.d589544046782.28a92e8dg2wSpu"/>
    <hyperlink ref="G16" r:id="rId12" display="https://item.taobao.com/item.htm?id=679108658727&amp;mi_id=0000c6KtcGBMGtOvA6x5ZCiVd9b5Y53NwUlV7a87CdC9LQ4&amp;spm=tbpc.boughtlist.suborder_itempic.d679108658727.28a92e8dg2wSpu" tooltip="https://item.taobao.com/item.htm?id=679108658727&amp;mi_id=0000c6KtcGBMGtOvA6x5ZCiVd9b5Y53NwUlV7a87CdC9LQ4&amp;spm=tbpc.boughtlist.suborder_itempic.d679108658727.28a92e8dg2wSpu"/>
    <hyperlink ref="G18" r:id="rId13" display="绿林内六角扳手套装6角螺丝刀六角匙工具六棱内六方工业级L型迷你-淘宝网" tooltip="https://item.taobao.com/item.htm?id=659783460801&amp;mi_id=0000dIYxrhvYAMHDtEpdMzYSUk7vBAFwtdrFUuEEyTZzBdo&amp;spm=tbpc.boughtlist.suborder_itempic.d659783460801.28a92e8dg2wSpu"/>
    <hyperlink ref="G14" r:id="rId14" display="PH2.0-2/3/4/5/6/7/8/9/10P 电子线端子线 单头镀锡 长30CM连接线-淘宝网" tooltip="https://item.taobao.com/item.htm?id=558147874154&amp;mi_id=0000aoudVMLusaqxbSV-wMANutQXowoj7MhyONY-zKiljE8&amp;spm=tbpc.boughtlist.suborder_itempic.d558147874154.48192e8dDOMTZL"/>
    <hyperlink ref="G20" r:id="rId15" display="https://detail.tmall.com/item.htm?id=611796709407&amp;mi_id=0000g0U2o78ed3B7OepPozzXV3WuxSViZ6-2Un0W_TNR73M&amp;spm=tbpc.boughtlist.suborder_itempic.d611796709407.48192e8dDOMTZL"/>
    <hyperlink ref="G21" r:id="rId16" display="https://detail.tmall.com/item.htm?id=617042322309&amp;mi_id=00006G-ltJXcabadkyGBpToJV2Iid5NARWkRBdW49oIrYAk&amp;spm=tbpc.boughtlist.suborder_itempic.d617042322309.48192e8dDOMTZL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H24" sqref="H24"/>
    </sheetView>
  </sheetViews>
  <sheetFormatPr defaultColWidth="9" defaultRowHeight="13.5" outlineLevelCol="4"/>
  <cols>
    <col min="5" max="5" width="80.875" customWidth="1"/>
  </cols>
  <sheetData>
    <row r="1" ht="15" spans="1:5">
      <c r="A1" s="1"/>
      <c r="B1" s="2" t="s">
        <v>312</v>
      </c>
      <c r="C1" s="2" t="s">
        <v>294</v>
      </c>
      <c r="D1" s="2" t="s">
        <v>295</v>
      </c>
      <c r="E1" s="2" t="s">
        <v>370</v>
      </c>
    </row>
    <row r="2" ht="16.5" spans="1:5">
      <c r="A2" s="1"/>
      <c r="B2" s="1" t="s">
        <v>371</v>
      </c>
      <c r="C2" s="1">
        <v>100</v>
      </c>
      <c r="D2" s="1">
        <v>3.44</v>
      </c>
      <c r="E2" s="3" t="s">
        <v>372</v>
      </c>
    </row>
    <row r="3" ht="16.5" spans="1:5">
      <c r="A3" s="1"/>
      <c r="B3" s="1" t="s">
        <v>373</v>
      </c>
      <c r="C3" s="1">
        <v>20</v>
      </c>
      <c r="D3" s="1">
        <v>2.24</v>
      </c>
      <c r="E3" s="3" t="s">
        <v>374</v>
      </c>
    </row>
    <row r="4" ht="16.5" spans="1:5">
      <c r="A4" s="1"/>
      <c r="B4" s="1" t="s">
        <v>375</v>
      </c>
      <c r="C4" s="1">
        <v>20</v>
      </c>
      <c r="D4" s="1">
        <v>1.96</v>
      </c>
      <c r="E4" s="3" t="s">
        <v>374</v>
      </c>
    </row>
    <row r="5" ht="16.5" spans="1:5">
      <c r="A5" s="1"/>
      <c r="B5" s="1" t="s">
        <v>371</v>
      </c>
      <c r="C5" s="1">
        <v>100</v>
      </c>
      <c r="D5" s="1">
        <v>3.4</v>
      </c>
      <c r="E5" s="3" t="s">
        <v>372</v>
      </c>
    </row>
    <row r="6" ht="16.5" spans="1:5">
      <c r="A6" s="1"/>
      <c r="B6" s="1" t="s">
        <v>376</v>
      </c>
      <c r="C6" s="1">
        <v>50</v>
      </c>
      <c r="D6" s="1">
        <v>2.82</v>
      </c>
      <c r="E6" s="3" t="s">
        <v>372</v>
      </c>
    </row>
    <row r="7" ht="16.5" spans="1:5">
      <c r="A7" s="1"/>
      <c r="B7" s="1" t="s">
        <v>377</v>
      </c>
      <c r="C7" s="1">
        <v>10</v>
      </c>
      <c r="D7" s="1">
        <v>1.49</v>
      </c>
      <c r="E7" s="3" t="s">
        <v>374</v>
      </c>
    </row>
    <row r="8" ht="16.5" spans="1:5">
      <c r="A8" s="1"/>
      <c r="B8" s="1" t="s">
        <v>378</v>
      </c>
      <c r="C8" s="1">
        <v>10</v>
      </c>
      <c r="D8" s="1">
        <v>1.68</v>
      </c>
      <c r="E8" s="3" t="s">
        <v>374</v>
      </c>
    </row>
    <row r="9" ht="16.5" spans="1:5">
      <c r="A9" s="1"/>
      <c r="B9" s="1" t="s">
        <v>379</v>
      </c>
      <c r="C9" s="1">
        <v>50</v>
      </c>
      <c r="D9" s="1">
        <v>3.88</v>
      </c>
      <c r="E9" s="3" t="s">
        <v>372</v>
      </c>
    </row>
    <row r="10" ht="16.5" spans="1:5">
      <c r="A10" s="1"/>
      <c r="B10" s="1" t="s">
        <v>380</v>
      </c>
      <c r="C10" s="1">
        <v>50</v>
      </c>
      <c r="D10" s="1">
        <v>5.04</v>
      </c>
      <c r="E10" s="3" t="s">
        <v>372</v>
      </c>
    </row>
    <row r="11" ht="16.5" spans="1:5">
      <c r="A11" s="1"/>
      <c r="B11" s="1" t="s">
        <v>381</v>
      </c>
      <c r="C11" s="1">
        <v>20</v>
      </c>
      <c r="D11" s="1">
        <v>2.46</v>
      </c>
      <c r="E11" s="3" t="s">
        <v>372</v>
      </c>
    </row>
    <row r="12" ht="16.5" spans="1:5">
      <c r="A12" s="1"/>
      <c r="B12" s="1" t="s">
        <v>382</v>
      </c>
      <c r="C12" s="1">
        <v>50</v>
      </c>
      <c r="D12" s="1">
        <v>3.21</v>
      </c>
      <c r="E12" s="3" t="s">
        <v>372</v>
      </c>
    </row>
    <row r="13" ht="16.5" spans="1:5">
      <c r="A13" s="1"/>
      <c r="B13" s="1" t="s">
        <v>383</v>
      </c>
      <c r="C13" s="1">
        <v>50</v>
      </c>
      <c r="D13" s="1">
        <v>4.64</v>
      </c>
      <c r="E13" s="3" t="s">
        <v>372</v>
      </c>
    </row>
    <row r="14" ht="16.5" spans="1:5">
      <c r="A14" s="1"/>
      <c r="B14" s="1" t="s">
        <v>384</v>
      </c>
      <c r="C14" s="1">
        <v>50</v>
      </c>
      <c r="D14" s="1">
        <v>2.43</v>
      </c>
      <c r="E14" s="3" t="s">
        <v>372</v>
      </c>
    </row>
    <row r="15" ht="16.5" spans="1:5">
      <c r="A15" s="1"/>
      <c r="B15" s="1" t="s">
        <v>385</v>
      </c>
      <c r="C15" s="1">
        <v>20</v>
      </c>
      <c r="D15" s="1">
        <v>0.55</v>
      </c>
      <c r="E15" s="3" t="s">
        <v>372</v>
      </c>
    </row>
    <row r="16" ht="15" spans="1:5">
      <c r="A16" s="4" t="s">
        <v>208</v>
      </c>
      <c r="B16" s="1"/>
      <c r="C16" s="1"/>
      <c r="D16" s="2">
        <f>SUM(D2:D15)</f>
        <v>39.24</v>
      </c>
      <c r="E16" s="1"/>
    </row>
  </sheetData>
  <hyperlinks>
    <hyperlink ref="E15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14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2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6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9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10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11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12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13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  <hyperlink ref="E3" r:id="rId2" display="304不锈钢圆柱头内六角螺丝杯头螺栓M3*x3x7x9x11x13x15x17x23-32-淘宝网" tooltip="https://item.taobao.com/item.htm?id=655646005874&amp;mi_id=0000YHaNkxeAjuijTImrU4fYnAOvVLNr1GTpWOa6oWvHVvY&amp;spm=tbpc.boughtlist.suborder_itempic.d655646005874.7e7c2e8dlb1Noj"/>
    <hyperlink ref="E4" r:id="rId2" display="304不锈钢圆柱头内六角螺丝杯头螺栓M3*x3x7x9x11x13x15x17x23-32-淘宝网" tooltip="https://item.taobao.com/item.htm?id=655646005874&amp;mi_id=0000YHaNkxeAjuijTImrU4fYnAOvVLNr1GTpWOa6oWvHVvY&amp;spm=tbpc.boughtlist.suborder_itempic.d655646005874.7e7c2e8dlb1Noj"/>
    <hyperlink ref="E7" r:id="rId2" display="304不锈钢圆柱头内六角螺丝杯头螺栓M3*x3x7x9x11x13x15x17x23-32-淘宝网" tooltip="https://item.taobao.com/item.htm?id=655646005874&amp;mi_id=0000YHaNkxeAjuijTImrU4fYnAOvVLNr1GTpWOa6oWvHVvY&amp;spm=tbpc.boughtlist.suborder_itempic.d655646005874.7e7c2e8dlb1Noj"/>
    <hyperlink ref="E8" r:id="rId2" display="304不锈钢圆柱头内六角螺丝杯头螺栓M3*x3x7x9x11x13x15x17x23-32-淘宝网" tooltip="https://item.taobao.com/item.htm?id=655646005874&amp;mi_id=0000YHaNkxeAjuijTImrU4fYnAOvVLNr1GTpWOa6oWvHVvY&amp;spm=tbpc.boughtlist.suborder_itempic.d655646005874.7e7c2e8dlb1Noj"/>
    <hyperlink ref="E5" r:id="rId1" display="304不锈钢内六角螺丝钉圆柱头杯头螺栓加长M2M3M4M5M6M8M10M12M16-tmall.com天猫" tooltip="https://detail.tmall.com/item.htm?id=587639753812&amp;mi_id=0000wVnRLY2Fmamn0sma09qPd5nVX6epHOCyVvxV9aZ7u9E&amp;spm=tbpc.boughtlist.suborder_itempic.d587639753812.7e7c2e8dlb1Noj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History</vt:lpstr>
      <vt:lpstr>Motor35</vt:lpstr>
      <vt:lpstr>Motor42</vt:lpstr>
      <vt:lpstr>REF_Controller</vt:lpstr>
      <vt:lpstr>总价</vt:lpstr>
      <vt:lpstr>立创商城BOM</vt:lpstr>
      <vt:lpstr>PCB打样</vt:lpstr>
      <vt:lpstr>3D打印</vt:lpstr>
      <vt:lpstr>CNC结构件</vt:lpstr>
      <vt:lpstr>电机和减速器</vt:lpstr>
      <vt:lpstr>螺丝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Zhang</dc:creator>
  <cp:lastModifiedBy>Yang Zhang</cp:lastModifiedBy>
  <dcterms:created xsi:type="dcterms:W3CDTF">2023-05-12T11:15:00Z</dcterms:created>
  <dcterms:modified xsi:type="dcterms:W3CDTF">2026-07-31T23:32:50Z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1FC4D54E0EA4446ABCF1F1A0BAF97D67_12</vt:lpwstr>
  </property>
  <property fmtid="{D5CDD505-2E9C-101B-9397-08002B2CF9AE}" pid="4" name="CalculationRule">
    <vt:i4>0</vt:i4>
  </property>
</Properties>
</file>